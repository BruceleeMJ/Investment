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ThisWorkbook"/>
  <xr:revisionPtr revIDLastSave="0" documentId="13_ncr:1_{65BAC972-242E-4131-9A52-5042EDC99E88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再平衡" sheetId="7" r:id="rId1"/>
    <sheet name="收益率" sheetId="23" r:id="rId2"/>
    <sheet name="交易记录" sheetId="6" r:id="rId3"/>
    <sheet name="再平衡规则" sheetId="34" r:id="rId4"/>
    <sheet name="最新指数ETF列表" sheetId="31" r:id="rId5"/>
  </sheets>
  <functionGroups builtInGroupCount="19"/>
  <calcPr calcId="181029"/>
  <pivotCaches>
    <pivotCache cacheId="12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3" i="6" l="1"/>
  <c r="A194" i="6"/>
  <c r="B1" i="23" l="1"/>
  <c r="C1" i="23" s="1"/>
  <c r="D1" i="23" s="1"/>
  <c r="E1" i="23" s="1"/>
  <c r="F1" i="23" s="1"/>
  <c r="G1" i="23" s="1"/>
  <c r="H1" i="23" s="1"/>
  <c r="I1" i="23" s="1"/>
  <c r="J1" i="23" s="1"/>
  <c r="K1" i="23" s="1"/>
  <c r="L1" i="23" s="1"/>
  <c r="M1" i="23" s="1"/>
  <c r="N1" i="23" s="1"/>
  <c r="O1" i="23" s="1"/>
  <c r="O3" i="23"/>
  <c r="C3" i="23"/>
  <c r="D3" i="23"/>
  <c r="E3" i="23"/>
  <c r="F3" i="23"/>
  <c r="G3" i="23"/>
  <c r="H3" i="23"/>
  <c r="I3" i="23"/>
  <c r="J3" i="23"/>
  <c r="K3" i="23"/>
  <c r="L3" i="23"/>
  <c r="M3" i="23"/>
  <c r="N3" i="23"/>
  <c r="B3" i="23"/>
  <c r="B5" i="23"/>
  <c r="C7" i="23" s="1" a="1"/>
  <c r="C7" i="23" s="1"/>
  <c r="B4" i="23"/>
  <c r="G9" i="6"/>
  <c r="A9" i="6"/>
  <c r="A8" i="6"/>
  <c r="A7" i="6"/>
  <c r="A6" i="6"/>
  <c r="A5" i="6"/>
  <c r="A4" i="6"/>
  <c r="A3" i="6"/>
  <c r="A2" i="6"/>
  <c r="A187" i="6"/>
  <c r="A188" i="6"/>
  <c r="A189" i="6"/>
  <c r="A190" i="6"/>
  <c r="A191" i="6"/>
  <c r="A192" i="6"/>
  <c r="H10" i="7"/>
  <c r="A171" i="6"/>
  <c r="A172" i="6"/>
  <c r="A173" i="6"/>
  <c r="A174" i="6"/>
  <c r="A175" i="6"/>
  <c r="A176" i="6"/>
  <c r="A177" i="6"/>
  <c r="A178" i="6"/>
  <c r="A180" i="6"/>
  <c r="A181" i="6"/>
  <c r="A182" i="6"/>
  <c r="A183" i="6"/>
  <c r="A184" i="6"/>
  <c r="A185" i="6"/>
  <c r="A186" i="6"/>
  <c r="A169" i="6"/>
  <c r="A170" i="6"/>
  <c r="A162" i="6"/>
  <c r="A163" i="6"/>
  <c r="A164" i="6"/>
  <c r="A165" i="6"/>
  <c r="A166" i="6"/>
  <c r="A167" i="6"/>
  <c r="A168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44" i="6"/>
  <c r="F7" i="7"/>
  <c r="F4" i="7"/>
  <c r="E4" i="7"/>
  <c r="E2" i="7"/>
  <c r="E9" i="7"/>
  <c r="F3" i="7"/>
  <c r="F2" i="7"/>
  <c r="E3" i="7"/>
  <c r="F5" i="7"/>
  <c r="F6" i="7"/>
  <c r="E7" i="7"/>
  <c r="E5" i="7"/>
  <c r="F9" i="7"/>
  <c r="E6" i="7"/>
  <c r="I6" i="7" l="1"/>
  <c r="G5" i="6" s="1"/>
  <c r="I5" i="7"/>
  <c r="G8" i="6" s="1"/>
  <c r="I7" i="7"/>
  <c r="G6" i="6" s="1"/>
  <c r="I3" i="7"/>
  <c r="G2" i="6" s="1"/>
  <c r="I9" i="7"/>
  <c r="G4" i="6" s="1"/>
  <c r="I2" i="7"/>
  <c r="G7" i="6" s="1"/>
  <c r="I4" i="7"/>
  <c r="G3" i="6" s="1"/>
  <c r="B2" i="23"/>
  <c r="C2" i="23" s="1"/>
  <c r="D2" i="23" s="1"/>
  <c r="E2" i="23" s="1"/>
  <c r="F2" i="23" s="1"/>
  <c r="G2" i="23" s="1"/>
  <c r="H2" i="23" s="1"/>
  <c r="I2" i="23" s="1"/>
  <c r="J2" i="23" s="1"/>
  <c r="K2" i="23" s="1"/>
  <c r="L2" i="23" s="1"/>
  <c r="M2" i="23" s="1"/>
  <c r="N2" i="23" s="1"/>
  <c r="O2" i="23" s="1"/>
  <c r="N6" i="23" a="1"/>
  <c r="N6" i="23" s="1"/>
  <c r="J6" i="23" a="1"/>
  <c r="J6" i="23" s="1"/>
  <c r="F6" i="23" a="1"/>
  <c r="F6" i="23" s="1"/>
  <c r="F8" i="23" s="1"/>
  <c r="B7" i="23" a="1"/>
  <c r="B7" i="23" s="1"/>
  <c r="M7" i="23" a="1"/>
  <c r="M7" i="23" s="1"/>
  <c r="H7" i="23" a="1"/>
  <c r="H7" i="23" s="1"/>
  <c r="E7" i="23" a="1"/>
  <c r="E7" i="23" s="1"/>
  <c r="M6" i="23" a="1"/>
  <c r="M6" i="23" s="1"/>
  <c r="I6" i="23" a="1"/>
  <c r="I6" i="23" s="1"/>
  <c r="I8" i="23" s="1"/>
  <c r="E6" i="23" a="1"/>
  <c r="E6" i="23" s="1"/>
  <c r="E8" i="23" s="1"/>
  <c r="O7" i="23" a="1"/>
  <c r="O7" i="23" s="1"/>
  <c r="J7" i="23" a="1"/>
  <c r="J7" i="23" s="1"/>
  <c r="G7" i="23" a="1"/>
  <c r="G7" i="23" s="1"/>
  <c r="B6" i="23" a="1"/>
  <c r="B6" i="23" s="1"/>
  <c r="B8" i="23" s="1"/>
  <c r="L6" i="23" a="1"/>
  <c r="L6" i="23" s="1"/>
  <c r="L8" i="23" s="1"/>
  <c r="H6" i="23" a="1"/>
  <c r="H6" i="23" s="1"/>
  <c r="H8" i="23" s="1"/>
  <c r="D6" i="23" a="1"/>
  <c r="D6" i="23" s="1"/>
  <c r="L7" i="23" a="1"/>
  <c r="L7" i="23" s="1"/>
  <c r="I7" i="23" a="1"/>
  <c r="I7" i="23" s="1"/>
  <c r="I9" i="23" s="1"/>
  <c r="D7" i="23" a="1"/>
  <c r="D7" i="23" s="1"/>
  <c r="O6" i="23" a="1"/>
  <c r="O6" i="23" s="1"/>
  <c r="O8" i="23" s="1"/>
  <c r="K6" i="23" a="1"/>
  <c r="K6" i="23" s="1"/>
  <c r="K8" i="23" s="1"/>
  <c r="G6" i="23" a="1"/>
  <c r="G6" i="23" s="1"/>
  <c r="G8" i="23" s="1"/>
  <c r="C6" i="23" a="1"/>
  <c r="C6" i="23" s="1"/>
  <c r="C8" i="23" s="1"/>
  <c r="N7" i="23" a="1"/>
  <c r="N7" i="23" s="1"/>
  <c r="N9" i="23" s="1"/>
  <c r="K7" i="23" a="1"/>
  <c r="K7" i="23" s="1"/>
  <c r="F7" i="23" a="1"/>
  <c r="F7" i="23" s="1"/>
  <c r="F9" i="23" s="1"/>
  <c r="M8" i="23"/>
  <c r="D8" i="23"/>
  <c r="N8" i="23"/>
  <c r="J8" i="23"/>
  <c r="I10" i="7" l="1"/>
  <c r="J8" i="7" s="1"/>
  <c r="K8" i="7" s="1"/>
  <c r="L8" i="7" s="1"/>
  <c r="M8" i="7" s="1"/>
  <c r="K9" i="23"/>
  <c r="O9" i="23"/>
  <c r="E9" i="23"/>
  <c r="D9" i="23"/>
  <c r="J9" i="23"/>
  <c r="L9" i="23"/>
  <c r="M9" i="23"/>
  <c r="H9" i="23"/>
  <c r="G9" i="23"/>
  <c r="B9" i="23"/>
  <c r="C9" i="23"/>
  <c r="J2" i="7" l="1"/>
  <c r="K2" i="7" s="1"/>
  <c r="L2" i="7" s="1"/>
  <c r="M2" i="7" s="1"/>
  <c r="J9" i="7"/>
  <c r="K9" i="7" s="1"/>
  <c r="L9" i="7" s="1"/>
  <c r="M9" i="7" s="1"/>
  <c r="J6" i="7"/>
  <c r="K6" i="7" s="1"/>
  <c r="L6" i="7" s="1"/>
  <c r="M6" i="7" s="1"/>
  <c r="J7" i="7"/>
  <c r="K7" i="7" s="1"/>
  <c r="L7" i="7" s="1"/>
  <c r="M7" i="7" s="1"/>
  <c r="J4" i="7"/>
  <c r="K4" i="7" s="1"/>
  <c r="L4" i="7" s="1"/>
  <c r="M4" i="7" s="1"/>
  <c r="J5" i="7"/>
  <c r="K5" i="7" s="1"/>
  <c r="L5" i="7" s="1"/>
  <c r="M5" i="7" s="1"/>
  <c r="J3" i="7"/>
  <c r="K3" i="7" s="1"/>
  <c r="L3" i="7" s="1"/>
  <c r="M3" i="7" s="1"/>
  <c r="K10" i="7" l="1"/>
  <c r="M10" i="7"/>
</calcChain>
</file>

<file path=xl/sharedStrings.xml><?xml version="1.0" encoding="utf-8"?>
<sst xmlns="http://schemas.openxmlformats.org/spreadsheetml/2006/main" count="3019" uniqueCount="862">
  <si>
    <t>513030</t>
    <phoneticPr fontId="1" type="noConversion"/>
  </si>
  <si>
    <t>513100</t>
    <phoneticPr fontId="1" type="noConversion"/>
  </si>
  <si>
    <t>513500</t>
    <phoneticPr fontId="1" type="noConversion"/>
  </si>
  <si>
    <t>513660</t>
    <phoneticPr fontId="1" type="noConversion"/>
  </si>
  <si>
    <t>513880</t>
    <phoneticPr fontId="1" type="noConversion"/>
  </si>
  <si>
    <t>最新市值</t>
    <phoneticPr fontId="1" type="noConversion"/>
  </si>
  <si>
    <t>目标占比</t>
    <phoneticPr fontId="1" type="noConversion"/>
  </si>
  <si>
    <t>代码</t>
    <phoneticPr fontId="1" type="noConversion"/>
  </si>
  <si>
    <t>汇总</t>
  </si>
  <si>
    <t>持仓</t>
    <phoneticPr fontId="1" type="noConversion"/>
  </si>
  <si>
    <t>510310</t>
    <phoneticPr fontId="1" type="noConversion"/>
  </si>
  <si>
    <t>国泰纳斯达克100ETF</t>
  </si>
  <si>
    <t>博时标普500ETF</t>
  </si>
  <si>
    <t>华安德国30(DAX)ETF</t>
  </si>
  <si>
    <t>华夏沪港通恒生ETF</t>
  </si>
  <si>
    <t>易方达沪深300发起式ETF</t>
  </si>
  <si>
    <t>成交日期</t>
  </si>
  <si>
    <t>证券代码</t>
  </si>
  <si>
    <t>证券名称</t>
  </si>
  <si>
    <t>操作</t>
  </si>
  <si>
    <t>成交数量</t>
  </si>
  <si>
    <t>成交均价</t>
  </si>
  <si>
    <t>标普500</t>
  </si>
  <si>
    <t>德国30</t>
  </si>
  <si>
    <t>纳指ETF</t>
  </si>
  <si>
    <t>恒生通</t>
  </si>
  <si>
    <t>综指ETF</t>
  </si>
  <si>
    <t>225ETF</t>
  </si>
  <si>
    <t>创业板PA</t>
  </si>
  <si>
    <t>法国ETF</t>
  </si>
  <si>
    <t>HS300ETF</t>
  </si>
  <si>
    <t>医药ETF</t>
  </si>
  <si>
    <t>发生金额</t>
    <phoneticPr fontId="1" type="noConversion"/>
  </si>
  <si>
    <t>中国</t>
    <phoneticPr fontId="1" type="noConversion"/>
  </si>
  <si>
    <t>美国</t>
    <phoneticPr fontId="1" type="noConversion"/>
  </si>
  <si>
    <t>每半年进行追加投资（2月、8月）</t>
    <phoneticPr fontId="1" type="noConversion"/>
  </si>
  <si>
    <t>买</t>
  </si>
  <si>
    <t>卖</t>
  </si>
  <si>
    <t>广发创业板ETF</t>
    <phoneticPr fontId="1" type="noConversion"/>
  </si>
  <si>
    <t>159952</t>
    <phoneticPr fontId="1" type="noConversion"/>
  </si>
  <si>
    <t>创业ＥＴＦ</t>
  </si>
  <si>
    <t>手数对应金额</t>
    <phoneticPr fontId="1" type="noConversion"/>
  </si>
  <si>
    <t>513500</t>
  </si>
  <si>
    <t>513100</t>
  </si>
  <si>
    <t>513000</t>
  </si>
  <si>
    <t>513030</t>
  </si>
  <si>
    <t>513080</t>
  </si>
  <si>
    <t>513660</t>
  </si>
  <si>
    <t>510310</t>
  </si>
  <si>
    <t>159952</t>
  </si>
  <si>
    <t>资产名称</t>
    <phoneticPr fontId="1" type="noConversion"/>
  </si>
  <si>
    <t>目标市值</t>
    <phoneticPr fontId="1" type="noConversion"/>
  </si>
  <si>
    <t>平衡金额</t>
    <phoneticPr fontId="1" type="noConversion"/>
  </si>
  <si>
    <t>平衡手数</t>
    <phoneticPr fontId="1" type="noConversion"/>
  </si>
  <si>
    <t>买</t>
    <phoneticPr fontId="1" type="noConversion"/>
  </si>
  <si>
    <t>利息</t>
    <phoneticPr fontId="1" type="noConversion"/>
  </si>
  <si>
    <t>日常交易日下午刷新数据，进行再平衡</t>
    <phoneticPr fontId="1" type="noConversion"/>
  </si>
  <si>
    <t>国开债</t>
    <phoneticPr fontId="1" type="noConversion"/>
  </si>
  <si>
    <t>每周补充交易记录</t>
    <phoneticPr fontId="1" type="noConversion"/>
  </si>
  <si>
    <t>总计</t>
  </si>
  <si>
    <t>大类</t>
    <phoneticPr fontId="1" type="noConversion"/>
  </si>
  <si>
    <t>小类</t>
    <phoneticPr fontId="1" type="noConversion"/>
  </si>
  <si>
    <t>股票</t>
    <phoneticPr fontId="1" type="noConversion"/>
  </si>
  <si>
    <t>债券</t>
    <phoneticPr fontId="1" type="noConversion"/>
  </si>
  <si>
    <t>国开债</t>
  </si>
  <si>
    <t>日欧</t>
    <phoneticPr fontId="1" type="noConversion"/>
  </si>
  <si>
    <t>510210</t>
  </si>
  <si>
    <t>科创ETF</t>
  </si>
  <si>
    <t>互联网50</t>
  </si>
  <si>
    <t>稀土ETF</t>
  </si>
  <si>
    <t>化工ETF</t>
  </si>
  <si>
    <t>游戏ETF</t>
  </si>
  <si>
    <t>光伏ETF</t>
  </si>
  <si>
    <t>食品ETF</t>
  </si>
  <si>
    <t>证保ETF</t>
  </si>
  <si>
    <t>山西证券</t>
  </si>
  <si>
    <t>电子ETF</t>
  </si>
  <si>
    <t>软件ETF</t>
  </si>
  <si>
    <t>煤炭ETF</t>
  </si>
  <si>
    <t>钢铁ETF</t>
  </si>
  <si>
    <t>中银证券</t>
  </si>
  <si>
    <t>科技ETF</t>
  </si>
  <si>
    <t>513880</t>
  </si>
  <si>
    <t>100ETF</t>
  </si>
  <si>
    <t>银行ETF</t>
  </si>
  <si>
    <t>芯片ETF</t>
  </si>
  <si>
    <t>酒ETF</t>
  </si>
  <si>
    <t>国防ETF</t>
  </si>
  <si>
    <t>有色ETF</t>
  </si>
  <si>
    <t>医疗ETF</t>
  </si>
  <si>
    <t>A50ETF</t>
  </si>
  <si>
    <t>券商ETF</t>
  </si>
  <si>
    <t>500ETF</t>
  </si>
  <si>
    <t>国企ETF</t>
  </si>
  <si>
    <t>价值ETF</t>
  </si>
  <si>
    <t>家电ETF</t>
  </si>
  <si>
    <t>5GETF</t>
  </si>
  <si>
    <t>粤债ETF</t>
  </si>
  <si>
    <t>创新ETF</t>
  </si>
  <si>
    <t>湾区ETF</t>
  </si>
  <si>
    <t>湾创ETF</t>
  </si>
  <si>
    <t>159964</t>
  </si>
  <si>
    <t>H股ETF</t>
  </si>
  <si>
    <t>博时黄金</t>
  </si>
  <si>
    <t>159929</t>
  </si>
  <si>
    <t>深成ETF</t>
  </si>
  <si>
    <t>畜牧ETF</t>
  </si>
  <si>
    <t>影视ETF</t>
  </si>
  <si>
    <t>证券ETF</t>
  </si>
  <si>
    <t>H股50ETF</t>
  </si>
  <si>
    <t>传媒ETF</t>
  </si>
  <si>
    <t>最新价</t>
    <phoneticPr fontId="1" type="noConversion"/>
  </si>
  <si>
    <t>华安日经225ETF</t>
    <phoneticPr fontId="1" type="noConversion"/>
  </si>
  <si>
    <t>每年检查最优标的（成交量、费率）</t>
    <phoneticPr fontId="1" type="noConversion"/>
  </si>
  <si>
    <t>交割单原始日期</t>
    <phoneticPr fontId="1" type="noConversion"/>
  </si>
  <si>
    <t>日经225</t>
  </si>
  <si>
    <t>求和项:发生金额</t>
  </si>
  <si>
    <t>国开债</t>
    <phoneticPr fontId="1" type="noConversion"/>
  </si>
  <si>
    <t>513100</t>
    <phoneticPr fontId="1" type="noConversion"/>
  </si>
  <si>
    <t>513500</t>
    <phoneticPr fontId="1" type="noConversion"/>
  </si>
  <si>
    <t>513660</t>
    <phoneticPr fontId="1" type="noConversion"/>
  </si>
  <si>
    <t>159952</t>
    <phoneticPr fontId="1" type="noConversion"/>
  </si>
  <si>
    <t>510310</t>
    <phoneticPr fontId="1" type="noConversion"/>
  </si>
  <si>
    <t>513880</t>
    <phoneticPr fontId="1" type="noConversion"/>
  </si>
  <si>
    <t>513030</t>
    <phoneticPr fontId="1" type="noConversion"/>
  </si>
  <si>
    <t>510210</t>
    <phoneticPr fontId="1" type="noConversion"/>
  </si>
  <si>
    <t>513000</t>
    <phoneticPr fontId="1" type="noConversion"/>
  </si>
  <si>
    <t>159964</t>
    <phoneticPr fontId="1" type="noConversion"/>
  </si>
  <si>
    <t>513080</t>
    <phoneticPr fontId="1" type="noConversion"/>
  </si>
  <si>
    <t>159929</t>
    <phoneticPr fontId="1" type="noConversion"/>
  </si>
  <si>
    <t>累计年化收益率</t>
    <phoneticPr fontId="1" type="noConversion"/>
  </si>
  <si>
    <t>参数-当前日期位置</t>
    <phoneticPr fontId="1" type="noConversion"/>
  </si>
  <si>
    <t>参数-首次交易日期距离</t>
    <phoneticPr fontId="1" type="noConversion"/>
  </si>
  <si>
    <t>参数-初始日期距离</t>
    <phoneticPr fontId="1" type="noConversion"/>
  </si>
  <si>
    <t>持有状态</t>
  </si>
  <si>
    <t>美国指数</t>
  </si>
  <si>
    <t>中国指数</t>
  </si>
  <si>
    <t>国债</t>
  </si>
  <si>
    <t>持仓天数</t>
    <phoneticPr fontId="1" type="noConversion"/>
  </si>
  <si>
    <t>参数-末次交易日期距离</t>
    <phoneticPr fontId="1" type="noConversion"/>
  </si>
  <si>
    <t>沪深300</t>
  </si>
  <si>
    <t>创业板</t>
  </si>
  <si>
    <t>上证综指</t>
  </si>
  <si>
    <t>指数分类</t>
  </si>
  <si>
    <t>地区分类</t>
  </si>
  <si>
    <t>日欧指数</t>
  </si>
  <si>
    <t>名称</t>
  </si>
  <si>
    <t>最新价</t>
  </si>
  <si>
    <t>医药</t>
  </si>
  <si>
    <t>有色金属</t>
  </si>
  <si>
    <t>信息技术</t>
  </si>
  <si>
    <t>银行</t>
  </si>
  <si>
    <t>中证500</t>
  </si>
  <si>
    <t>沪深300ETF</t>
  </si>
  <si>
    <t>华泰柏瑞基金</t>
  </si>
  <si>
    <t>宽基，大盘股</t>
  </si>
  <si>
    <t>军工ETF</t>
  </si>
  <si>
    <t>-</t>
  </si>
  <si>
    <t>国泰基金</t>
  </si>
  <si>
    <t>行业，军工</t>
  </si>
  <si>
    <t>鹏华基金</t>
  </si>
  <si>
    <t>行业，食品饮料，酒</t>
  </si>
  <si>
    <t>有色金属ETF</t>
  </si>
  <si>
    <t>南方基金</t>
  </si>
  <si>
    <t>行业，资源，有色金属</t>
  </si>
  <si>
    <t>创业板50</t>
  </si>
  <si>
    <t>华安基金</t>
  </si>
  <si>
    <t>宽基，中小盘</t>
  </si>
  <si>
    <t>主题，光伏，新兴产业</t>
  </si>
  <si>
    <t>行业，金融，证券</t>
  </si>
  <si>
    <t>科创50ETF</t>
  </si>
  <si>
    <t>华夏基金</t>
  </si>
  <si>
    <t>消费ETF</t>
  </si>
  <si>
    <t>汇添富基金</t>
  </si>
  <si>
    <t>行业，消费</t>
  </si>
  <si>
    <t>代码</t>
  </si>
  <si>
    <t>日涨幅</t>
  </si>
  <si>
    <t>溢价率</t>
  </si>
  <si>
    <t>日均成交（万）</t>
  </si>
  <si>
    <t>近一月</t>
  </si>
  <si>
    <t>年初至今</t>
  </si>
  <si>
    <t>近一年</t>
  </si>
  <si>
    <t>近三年</t>
  </si>
  <si>
    <t>近五年</t>
  </si>
  <si>
    <t>规模（亿）</t>
  </si>
  <si>
    <t>运作费率</t>
  </si>
  <si>
    <t>跟踪指数</t>
  </si>
  <si>
    <t>上市日期</t>
  </si>
  <si>
    <t>基金公司</t>
  </si>
  <si>
    <t>分类</t>
  </si>
  <si>
    <t xml:space="preserve"> 沪深300指数 </t>
  </si>
  <si>
    <t xml:space="preserve"> 中证军工指数 </t>
  </si>
  <si>
    <t xml:space="preserve"> 中证酒指数 </t>
  </si>
  <si>
    <t xml:space="preserve"> 有色金属指数 </t>
  </si>
  <si>
    <t xml:space="preserve"> 创业板50指数 </t>
  </si>
  <si>
    <t xml:space="preserve"> 光伏产业指数 </t>
  </si>
  <si>
    <t xml:space="preserve"> 证券公司指数 </t>
  </si>
  <si>
    <t xml:space="preserve"> 科创50指数 </t>
  </si>
  <si>
    <t xml:space="preserve"> 中证消费指数 </t>
  </si>
  <si>
    <t xml:space="preserve"> 中证医疗指数 </t>
  </si>
  <si>
    <t>华宝基金</t>
  </si>
  <si>
    <t>行业，医药</t>
  </si>
  <si>
    <t xml:space="preserve"> 国证芯片指数 </t>
  </si>
  <si>
    <t>行业，半导体，芯片</t>
  </si>
  <si>
    <t>中证500ETF</t>
  </si>
  <si>
    <t xml:space="preserve"> 中证500指数 </t>
  </si>
  <si>
    <t>中概互联网ETF</t>
  </si>
  <si>
    <t xml:space="preserve"> 中国互联网50指数 </t>
  </si>
  <si>
    <t>易方达基金</t>
  </si>
  <si>
    <t>跨境，中概股</t>
  </si>
  <si>
    <t>新能源车ETF</t>
  </si>
  <si>
    <t xml:space="preserve"> CS新能车指数 </t>
  </si>
  <si>
    <t>主题，新兴产业，新能源车</t>
  </si>
  <si>
    <t xml:space="preserve"> 中证银行指数 </t>
  </si>
  <si>
    <t>行业，金融，银行</t>
  </si>
  <si>
    <t xml:space="preserve"> 创业板指 </t>
  </si>
  <si>
    <t>房地产ETF</t>
  </si>
  <si>
    <t xml:space="preserve"> 房地产指数 </t>
  </si>
  <si>
    <t>行业，金融，房地产</t>
  </si>
  <si>
    <t>创成长</t>
  </si>
  <si>
    <t xml:space="preserve"> 创成长指数 </t>
  </si>
  <si>
    <t>策略，动量，成长</t>
  </si>
  <si>
    <t xml:space="preserve"> 中证钢铁指数 </t>
  </si>
  <si>
    <t>行业，钢铁</t>
  </si>
  <si>
    <t>半导体ETF</t>
  </si>
  <si>
    <t xml:space="preserve"> 半导体指数 </t>
  </si>
  <si>
    <t>国联安基金</t>
  </si>
  <si>
    <t>黄金ETF</t>
  </si>
  <si>
    <t xml:space="preserve"> 黄金9999指数 </t>
  </si>
  <si>
    <t>商品，黄金</t>
  </si>
  <si>
    <t>消费50ETF</t>
  </si>
  <si>
    <t xml:space="preserve"> CS消费50指数 </t>
  </si>
  <si>
    <t>富国基金</t>
  </si>
  <si>
    <t xml:space="preserve"> 纳斯达克100指数 </t>
  </si>
  <si>
    <t>跨境，美国</t>
  </si>
  <si>
    <t xml:space="preserve"> 中华半导体人民币指数 </t>
  </si>
  <si>
    <t xml:space="preserve"> 5G通信指数 </t>
  </si>
  <si>
    <t>主题，新兴产业，5G</t>
  </si>
  <si>
    <t>红利ETF</t>
  </si>
  <si>
    <t xml:space="preserve"> 红利指数 </t>
  </si>
  <si>
    <t>策略，红利</t>
  </si>
  <si>
    <t xml:space="preserve"> 300医药指数 </t>
  </si>
  <si>
    <t>上证50ETF</t>
  </si>
  <si>
    <t xml:space="preserve"> 上证50指数 </t>
  </si>
  <si>
    <t>农业ETF</t>
  </si>
  <si>
    <t xml:space="preserve"> 中证农业指数 </t>
  </si>
  <si>
    <t>行业，农业</t>
  </si>
  <si>
    <t>创新药</t>
  </si>
  <si>
    <t xml:space="preserve"> CS创新药指数 </t>
  </si>
  <si>
    <t>银华基金</t>
  </si>
  <si>
    <t>恒生互联网ETF</t>
  </si>
  <si>
    <t xml:space="preserve"> 恒生互联网科技业指数 </t>
  </si>
  <si>
    <t>跨境，香港，互联网</t>
  </si>
  <si>
    <t>军工龙头ETF</t>
  </si>
  <si>
    <t xml:space="preserve"> 军工龙头指数 </t>
  </si>
  <si>
    <t>通信ETF</t>
  </si>
  <si>
    <t xml:space="preserve"> 通信设备指数 </t>
  </si>
  <si>
    <t>行业，TMT，通信</t>
  </si>
  <si>
    <t xml:space="preserve"> 科技龙头指数 </t>
  </si>
  <si>
    <t>主题，新兴产业，科技</t>
  </si>
  <si>
    <t>恒生ETF</t>
  </si>
  <si>
    <t xml:space="preserve"> 香港恒生指数 </t>
  </si>
  <si>
    <t>跨境，香港</t>
  </si>
  <si>
    <t xml:space="preserve"> 中证国防指数 </t>
  </si>
  <si>
    <t>标普500ETF</t>
  </si>
  <si>
    <t xml:space="preserve"> 标准普尔500指数 </t>
  </si>
  <si>
    <t>博时基金</t>
  </si>
  <si>
    <t xml:space="preserve"> 中证煤炭指数 </t>
  </si>
  <si>
    <t>行业，煤炭，资源</t>
  </si>
  <si>
    <t>国债ETF</t>
  </si>
  <si>
    <t xml:space="preserve"> 5年国债指数 </t>
  </si>
  <si>
    <t>债券，国债，利率债</t>
  </si>
  <si>
    <t>新能车ETF</t>
  </si>
  <si>
    <t xml:space="preserve"> 新能源车指数 </t>
  </si>
  <si>
    <t>平安基金</t>
  </si>
  <si>
    <t xml:space="preserve"> 中证传媒指数 </t>
  </si>
  <si>
    <t>广发基金</t>
  </si>
  <si>
    <t>行业，TMT，传媒</t>
  </si>
  <si>
    <t>食品饮料ETF</t>
  </si>
  <si>
    <t xml:space="preserve"> 细分食品指数 </t>
  </si>
  <si>
    <t>行业，食品饮料</t>
  </si>
  <si>
    <t xml:space="preserve"> 细分化工指数 </t>
  </si>
  <si>
    <t>行业，化工</t>
  </si>
  <si>
    <t>中证100ETF</t>
  </si>
  <si>
    <t xml:space="preserve"> 中证100指数 </t>
  </si>
  <si>
    <t>港股通50ETF</t>
  </si>
  <si>
    <t xml:space="preserve"> 港股通50港元指数 </t>
  </si>
  <si>
    <t>中证1000ETF</t>
  </si>
  <si>
    <t xml:space="preserve"> 中证1000指数 </t>
  </si>
  <si>
    <t>环保ETF</t>
  </si>
  <si>
    <t xml:space="preserve"> 中证环保指数 </t>
  </si>
  <si>
    <t>主题，环保，新兴产业</t>
  </si>
  <si>
    <t xml:space="preserve"> 稀土产业指数 </t>
  </si>
  <si>
    <t>主题，稀土</t>
  </si>
  <si>
    <t>十年国债ETF</t>
  </si>
  <si>
    <t xml:space="preserve"> 10年国债指数 </t>
  </si>
  <si>
    <t>生物医药ETF</t>
  </si>
  <si>
    <t xml:space="preserve"> CS生医指数 </t>
  </si>
  <si>
    <t>行业，医药，生物科技</t>
  </si>
  <si>
    <t>德国30ETF</t>
  </si>
  <si>
    <t xml:space="preserve"> 德国DAX指数 </t>
  </si>
  <si>
    <t>跨境，德国</t>
  </si>
  <si>
    <t>沪港深500ETF基金</t>
  </si>
  <si>
    <t xml:space="preserve"> 沪港深500人民币指数 </t>
  </si>
  <si>
    <t xml:space="preserve"> 恒生中国企业指数 </t>
  </si>
  <si>
    <t>跨境，香港，中概股</t>
  </si>
  <si>
    <t>能源ETF</t>
  </si>
  <si>
    <t xml:space="preserve"> 中证能源指数 </t>
  </si>
  <si>
    <t>行业，资源，能源</t>
  </si>
  <si>
    <t>资源ETF</t>
  </si>
  <si>
    <t xml:space="preserve"> 上证资源指数 </t>
  </si>
  <si>
    <t>行业，资源</t>
  </si>
  <si>
    <t>证券保险ETF</t>
  </si>
  <si>
    <t xml:space="preserve"> 300非银指数 </t>
  </si>
  <si>
    <t>行业，金融</t>
  </si>
  <si>
    <t>纳斯达克ETF</t>
  </si>
  <si>
    <t>沪深300ETF易方达</t>
  </si>
  <si>
    <t>深红利</t>
  </si>
  <si>
    <t xml:space="preserve"> 深证红利指数 </t>
  </si>
  <si>
    <t>工银瑞信基金</t>
  </si>
  <si>
    <t>生物科技</t>
  </si>
  <si>
    <t xml:space="preserve"> 中证生科指数 </t>
  </si>
  <si>
    <t>主题，新兴产业，生物科技</t>
  </si>
  <si>
    <t xml:space="preserve"> 家用电器指数 </t>
  </si>
  <si>
    <t>行业，家电</t>
  </si>
  <si>
    <t>能源化工</t>
  </si>
  <si>
    <t xml:space="preserve"> 易盛能化A </t>
  </si>
  <si>
    <t>建信基金</t>
  </si>
  <si>
    <t>商品，化工</t>
  </si>
  <si>
    <t>光伏50ETF</t>
  </si>
  <si>
    <t>新能源ETF</t>
  </si>
  <si>
    <t xml:space="preserve"> 中证新能指数 </t>
  </si>
  <si>
    <t>主题，新能源，新兴产业</t>
  </si>
  <si>
    <t>龙头券商</t>
  </si>
  <si>
    <t xml:space="preserve"> 证券龙头指数 </t>
  </si>
  <si>
    <t>科技50</t>
  </si>
  <si>
    <t xml:space="preserve"> 科技50指数 </t>
  </si>
  <si>
    <t>科创板50ETF</t>
  </si>
  <si>
    <t>红利ETF易方达</t>
  </si>
  <si>
    <t xml:space="preserve"> 中证红利指数 </t>
  </si>
  <si>
    <t>消费行业ETF</t>
  </si>
  <si>
    <t xml:space="preserve"> 上证消费指数 </t>
  </si>
  <si>
    <t>人工智能ETF</t>
  </si>
  <si>
    <t xml:space="preserve"> 人工智能指数 </t>
  </si>
  <si>
    <t>华富基金</t>
  </si>
  <si>
    <t>主题，新兴产业，人工智能</t>
  </si>
  <si>
    <t>创蓝筹</t>
  </si>
  <si>
    <t xml:space="preserve"> 创业蓝筹指数 </t>
  </si>
  <si>
    <t>策略，低波动</t>
  </si>
  <si>
    <t>战略新兴ETF</t>
  </si>
  <si>
    <t xml:space="preserve"> 新兴成指 </t>
  </si>
  <si>
    <t>主题，新兴产业</t>
  </si>
  <si>
    <t xml:space="preserve"> 动漫游戏指数 </t>
  </si>
  <si>
    <t>主题，游戏</t>
  </si>
  <si>
    <t>创新药ETF</t>
  </si>
  <si>
    <t>农业50</t>
  </si>
  <si>
    <t xml:space="preserve"> 细分有色全收益指数 </t>
  </si>
  <si>
    <t xml:space="preserve"> 上期有色金属指数 </t>
  </si>
  <si>
    <t>大成基金</t>
  </si>
  <si>
    <t>商品，有色金属</t>
  </si>
  <si>
    <t xml:space="preserve"> 消费80指数 </t>
  </si>
  <si>
    <t>招商基金</t>
  </si>
  <si>
    <t>信息技术ETF</t>
  </si>
  <si>
    <t xml:space="preserve"> 500信息指数 </t>
  </si>
  <si>
    <t>房地产ETF基金</t>
  </si>
  <si>
    <t>金融地产ETF</t>
  </si>
  <si>
    <t xml:space="preserve"> 上证金融指数 </t>
  </si>
  <si>
    <t>中证红利ETF</t>
  </si>
  <si>
    <t>AI智能</t>
  </si>
  <si>
    <t xml:space="preserve"> CS人工智能指数 </t>
  </si>
  <si>
    <t>大宗商品ETF</t>
  </si>
  <si>
    <t xml:space="preserve"> 上证商品指数 </t>
  </si>
  <si>
    <t>沪港深300ETF</t>
  </si>
  <si>
    <t xml:space="preserve"> 沪港深300指数 </t>
  </si>
  <si>
    <t>国寿安保基金</t>
  </si>
  <si>
    <t>新经济</t>
  </si>
  <si>
    <t xml:space="preserve"> 标普新中国行业指数 </t>
  </si>
  <si>
    <t>跨境，新兴产业</t>
  </si>
  <si>
    <t>可转债ETF</t>
  </si>
  <si>
    <t xml:space="preserve"> 中证转债及可交换债指数 </t>
  </si>
  <si>
    <t>债券，可转债</t>
  </si>
  <si>
    <t>深100ETF</t>
  </si>
  <si>
    <t xml:space="preserve"> 深证100指数 </t>
  </si>
  <si>
    <t>豆粕ETF</t>
  </si>
  <si>
    <t xml:space="preserve"> 大商所豆粕期货价格指数 </t>
  </si>
  <si>
    <t>商品，农产品</t>
  </si>
  <si>
    <t>消费服务ETF</t>
  </si>
  <si>
    <t xml:space="preserve"> 消费服务全收益指数 </t>
  </si>
  <si>
    <t>主题，消费服务</t>
  </si>
  <si>
    <t>香港证券ETF</t>
  </si>
  <si>
    <t xml:space="preserve"> 香港证券港元指数 </t>
  </si>
  <si>
    <t>500ETF沪港深</t>
  </si>
  <si>
    <t xml:space="preserve"> 中证沪港深500交易型开放式指数 </t>
  </si>
  <si>
    <t>港股通ETF</t>
  </si>
  <si>
    <t xml:space="preserve"> 港股通指数 </t>
  </si>
  <si>
    <t>中证军工ETF</t>
  </si>
  <si>
    <t>金融ETF</t>
  </si>
  <si>
    <t xml:space="preserve"> 180金融指数 </t>
  </si>
  <si>
    <t>上证50ETF易方达</t>
  </si>
  <si>
    <t>金融</t>
  </si>
  <si>
    <t xml:space="preserve"> 全指金融 </t>
  </si>
  <si>
    <t>500ETF基金</t>
  </si>
  <si>
    <t>智能汽车ETF</t>
  </si>
  <si>
    <t xml:space="preserve"> CS智汽车指数 </t>
  </si>
  <si>
    <t>主题，智能汽车</t>
  </si>
  <si>
    <t>光伏产业ETF</t>
  </si>
  <si>
    <t>生物ETF</t>
  </si>
  <si>
    <t>高股息ETF</t>
  </si>
  <si>
    <t xml:space="preserve"> CS高股息指数 </t>
  </si>
  <si>
    <t>浦银安盛基金</t>
  </si>
  <si>
    <t>5G50ETF</t>
  </si>
  <si>
    <t xml:space="preserve"> 5G50指数 </t>
  </si>
  <si>
    <t>上证50指数ETF</t>
  </si>
  <si>
    <t>军工行业ETF</t>
  </si>
  <si>
    <t>互联网50ETF</t>
  </si>
  <si>
    <t xml:space="preserve"> SHS互联网人民币指数 </t>
  </si>
  <si>
    <t>主题，互联网</t>
  </si>
  <si>
    <t>10年国债ETF</t>
  </si>
  <si>
    <t xml:space="preserve"> 中证10年国债指数 </t>
  </si>
  <si>
    <t>银行ETF基金</t>
  </si>
  <si>
    <t>城投债ETF</t>
  </si>
  <si>
    <t xml:space="preserve"> 沪城投债指数 </t>
  </si>
  <si>
    <t>海富通基金</t>
  </si>
  <si>
    <t>债券，企业债，信用债</t>
  </si>
  <si>
    <t xml:space="preserve"> 湾创100指数 </t>
  </si>
  <si>
    <t>主题，区域，大湾区</t>
  </si>
  <si>
    <t>MSCIA股ETF</t>
  </si>
  <si>
    <t xml:space="preserve"> MSCI中国A股国际通指数 </t>
  </si>
  <si>
    <t>MSCI</t>
  </si>
  <si>
    <t>材料ETF</t>
  </si>
  <si>
    <t xml:space="preserve"> 全指材料 </t>
  </si>
  <si>
    <t>行业，原材料</t>
  </si>
  <si>
    <t>科创板ETF</t>
  </si>
  <si>
    <t>基本面50ETF</t>
  </si>
  <si>
    <t xml:space="preserve"> 基本面50指数 </t>
  </si>
  <si>
    <t>嘉实基金</t>
  </si>
  <si>
    <t>策略，价值</t>
  </si>
  <si>
    <t>先进制造ETF</t>
  </si>
  <si>
    <t xml:space="preserve"> 先进制造100指数 </t>
  </si>
  <si>
    <t>法国CAC40ETF</t>
  </si>
  <si>
    <t xml:space="preserve"> 法国CAC40指数 </t>
  </si>
  <si>
    <t>跨境，法国</t>
  </si>
  <si>
    <t>医药50ETF</t>
  </si>
  <si>
    <t xml:space="preserve"> 细分医药指数 </t>
  </si>
  <si>
    <t>食品饮料</t>
  </si>
  <si>
    <t xml:space="preserve"> 国证食品指数 </t>
  </si>
  <si>
    <t>天弘基金</t>
  </si>
  <si>
    <t>智能制造ETF</t>
  </si>
  <si>
    <t xml:space="preserve"> 智能制造指数 </t>
  </si>
  <si>
    <t>主题，智能制造</t>
  </si>
  <si>
    <t>科技50ETF</t>
  </si>
  <si>
    <t xml:space="preserve"> 中证科技指数 </t>
  </si>
  <si>
    <t>消费100</t>
  </si>
  <si>
    <t xml:space="preserve"> 中金消费指数 </t>
  </si>
  <si>
    <t>弘毅远方基金</t>
  </si>
  <si>
    <t>BOCI创业</t>
  </si>
  <si>
    <t>港股通100ETF</t>
  </si>
  <si>
    <t xml:space="preserve"> 中华港股通精选100人民币指数 </t>
  </si>
  <si>
    <t>500ETF基</t>
  </si>
  <si>
    <t>中证500低波ETF</t>
  </si>
  <si>
    <t xml:space="preserve"> 500SNLV指数 </t>
  </si>
  <si>
    <t xml:space="preserve"> 全指信息 </t>
  </si>
  <si>
    <t>军工ETF易方达</t>
  </si>
  <si>
    <t>芯片</t>
  </si>
  <si>
    <t>化工50ETF</t>
  </si>
  <si>
    <t>中小板</t>
  </si>
  <si>
    <t xml:space="preserve"> 中小板指 </t>
  </si>
  <si>
    <t xml:space="preserve"> CS电子指数 </t>
  </si>
  <si>
    <t>行业，电子</t>
  </si>
  <si>
    <t xml:space="preserve"> 800证保指数 </t>
  </si>
  <si>
    <t>行业，金融，证券保险</t>
  </si>
  <si>
    <t xml:space="preserve"> 电子50指数 </t>
  </si>
  <si>
    <t>创业板ET</t>
  </si>
  <si>
    <t>主要消费ETF</t>
  </si>
  <si>
    <t>小盘价值</t>
  </si>
  <si>
    <t xml:space="preserve"> 小盘价值指数 </t>
  </si>
  <si>
    <t xml:space="preserve"> 中证影视指数 </t>
  </si>
  <si>
    <t>主题，TMT，影视</t>
  </si>
  <si>
    <t>证券ETF建信</t>
  </si>
  <si>
    <t>创业ETF</t>
  </si>
  <si>
    <t>养殖ETF</t>
  </si>
  <si>
    <t xml:space="preserve"> 中证畜牧指数 </t>
  </si>
  <si>
    <t>行业，畜牧业</t>
  </si>
  <si>
    <t>央企ETF</t>
  </si>
  <si>
    <t xml:space="preserve"> 结构调整指数 </t>
  </si>
  <si>
    <t>主题，央企</t>
  </si>
  <si>
    <t>恒生国企</t>
  </si>
  <si>
    <t>计算机ETF</t>
  </si>
  <si>
    <t xml:space="preserve"> CS计算机指数 </t>
  </si>
  <si>
    <t>行业，计算机</t>
  </si>
  <si>
    <t>红利低波动ETF</t>
  </si>
  <si>
    <t xml:space="preserve"> 红利低波指数 </t>
  </si>
  <si>
    <t>兴业沪深300ETF</t>
  </si>
  <si>
    <t>兴业基金</t>
  </si>
  <si>
    <t>公司债ETF</t>
  </si>
  <si>
    <t xml:space="preserve"> 中债-中高等级公司债利差因子全价(总值)指数 </t>
  </si>
  <si>
    <t>债券，公司债，信用债</t>
  </si>
  <si>
    <t>小康指数ETF</t>
  </si>
  <si>
    <t xml:space="preserve"> 小康指数 </t>
  </si>
  <si>
    <t>主题，产业升级</t>
  </si>
  <si>
    <t>沪深300添富ETF</t>
  </si>
  <si>
    <t>上证指数ETF</t>
  </si>
  <si>
    <t xml:space="preserve"> 上证指数 </t>
  </si>
  <si>
    <t>宽基，综合</t>
  </si>
  <si>
    <t xml:space="preserve"> 全指医药 </t>
  </si>
  <si>
    <t xml:space="preserve"> 中证医药指数 </t>
  </si>
  <si>
    <t>新能汽车</t>
  </si>
  <si>
    <t>医药龙头ETF</t>
  </si>
  <si>
    <t xml:space="preserve"> 医药50指数 </t>
  </si>
  <si>
    <t>能源</t>
  </si>
  <si>
    <t xml:space="preserve"> 全指能源 </t>
  </si>
  <si>
    <t>证券龙头ETF</t>
  </si>
  <si>
    <t>大数据50ETF</t>
  </si>
  <si>
    <t xml:space="preserve"> 中证数据指数 </t>
  </si>
  <si>
    <t>300ETF天弘</t>
  </si>
  <si>
    <t>MSCIA股ETF易方达</t>
  </si>
  <si>
    <t>芯片基金</t>
  </si>
  <si>
    <t>上证50ETF基金</t>
  </si>
  <si>
    <t>万家基金</t>
  </si>
  <si>
    <t>银行龙头ETF</t>
  </si>
  <si>
    <t xml:space="preserve"> 软件服务指数 </t>
  </si>
  <si>
    <t>主题，新兴产业，软件</t>
  </si>
  <si>
    <t>AIETF</t>
  </si>
  <si>
    <t>50ETF基金</t>
  </si>
  <si>
    <t>日经225ETF基金</t>
  </si>
  <si>
    <t xml:space="preserve"> 日经225指数 </t>
  </si>
  <si>
    <t>跨境，日本</t>
  </si>
  <si>
    <t>中证500ETF基金</t>
  </si>
  <si>
    <t xml:space="preserve"> 中证金融指数 </t>
  </si>
  <si>
    <t>计算机</t>
  </si>
  <si>
    <t>创业板EF</t>
  </si>
  <si>
    <t>新能车</t>
  </si>
  <si>
    <t>800ETF</t>
  </si>
  <si>
    <t xml:space="preserve"> 中证800指数 </t>
  </si>
  <si>
    <t>H股50</t>
  </si>
  <si>
    <t>股息龙头ETF</t>
  </si>
  <si>
    <t xml:space="preserve"> 股息龙头指数 </t>
  </si>
  <si>
    <t>电子50ETF</t>
  </si>
  <si>
    <t>周期ETF</t>
  </si>
  <si>
    <t xml:space="preserve"> 上证周期指数 </t>
  </si>
  <si>
    <t>行业，周期</t>
  </si>
  <si>
    <t>大数据ETF</t>
  </si>
  <si>
    <t>银行ETF华夏</t>
  </si>
  <si>
    <t>300ETF</t>
  </si>
  <si>
    <t xml:space="preserve"> 180价值指数 </t>
  </si>
  <si>
    <t>创新100ETF</t>
  </si>
  <si>
    <t xml:space="preserve"> 创新100指数 </t>
  </si>
  <si>
    <t>申万菱信基金</t>
  </si>
  <si>
    <t>山证红利ETF</t>
  </si>
  <si>
    <t xml:space="preserve"> 红利潜力指数 </t>
  </si>
  <si>
    <t>医药健康ETF</t>
  </si>
  <si>
    <t xml:space="preserve"> 医药健康100指数 </t>
  </si>
  <si>
    <t>创业大盘</t>
  </si>
  <si>
    <t xml:space="preserve"> 创业大盘指数 </t>
  </si>
  <si>
    <t>西部利得基金</t>
  </si>
  <si>
    <t>上证180ETF</t>
  </si>
  <si>
    <t xml:space="preserve"> 上证180指数 </t>
  </si>
  <si>
    <t>MSCI价值100ETF</t>
  </si>
  <si>
    <t xml:space="preserve"> MSCI中国A股质优价值100指数 </t>
  </si>
  <si>
    <t>策略，低波动，价值</t>
  </si>
  <si>
    <t>科技龙头ETF</t>
  </si>
  <si>
    <t xml:space="preserve"> 上证央企指数 </t>
  </si>
  <si>
    <t>平安MSCI低波ETF</t>
  </si>
  <si>
    <t xml:space="preserve"> MSCI中国A股低波指数 </t>
  </si>
  <si>
    <t>MSCI，策略，低波动</t>
  </si>
  <si>
    <t>上证龙头ETF</t>
  </si>
  <si>
    <t xml:space="preserve"> 上证龙头指数 </t>
  </si>
  <si>
    <t>央企改革ETF</t>
  </si>
  <si>
    <t>可持续发展ETF</t>
  </si>
  <si>
    <t xml:space="preserve"> 持续发展指数 </t>
  </si>
  <si>
    <t>主题，ESG</t>
  </si>
  <si>
    <t>短融ETF</t>
  </si>
  <si>
    <t xml:space="preserve"> 中证短融指数 </t>
  </si>
  <si>
    <t>债券，信用债，短期融资券</t>
  </si>
  <si>
    <t>央创ETF</t>
  </si>
  <si>
    <t xml:space="preserve"> 央企创新指数 </t>
  </si>
  <si>
    <t>沪深300ETF博时</t>
  </si>
  <si>
    <t>恒生指数ETF</t>
  </si>
  <si>
    <t>上证可转债ETF</t>
  </si>
  <si>
    <t xml:space="preserve"> 上证投资级转债及可交换债指数 </t>
  </si>
  <si>
    <t>一带一路ETF</t>
  </si>
  <si>
    <t xml:space="preserve"> 国企带路指数 </t>
  </si>
  <si>
    <t>主题，国企，一带一路</t>
  </si>
  <si>
    <t>国企一带一路ETF</t>
  </si>
  <si>
    <t xml:space="preserve"> 中期国债指数 </t>
  </si>
  <si>
    <t>活跃国债ETF</t>
  </si>
  <si>
    <t xml:space="preserve"> 中证平安5-10年国债指数 </t>
  </si>
  <si>
    <t>可选消费</t>
  </si>
  <si>
    <t xml:space="preserve"> 全指可选 </t>
  </si>
  <si>
    <t>智能消费ETF</t>
  </si>
  <si>
    <t xml:space="preserve"> CS智消费指数 </t>
  </si>
  <si>
    <t>沪深300ETF基金</t>
  </si>
  <si>
    <t>平安沪深300ETF</t>
  </si>
  <si>
    <t>创精选88</t>
  </si>
  <si>
    <t xml:space="preserve"> 创精选88指数 </t>
  </si>
  <si>
    <t>策略，成长</t>
  </si>
  <si>
    <t>沪深300红利ETF</t>
  </si>
  <si>
    <t xml:space="preserve"> 300红利指数 </t>
  </si>
  <si>
    <t>10年地方债ETF</t>
  </si>
  <si>
    <t xml:space="preserve"> 上证10年地债指数 </t>
  </si>
  <si>
    <t>债券，地方政府债，利率债</t>
  </si>
  <si>
    <t>金融地产ETF基金</t>
  </si>
  <si>
    <t>中证红利指数ETF</t>
  </si>
  <si>
    <t>证券ETF基金</t>
  </si>
  <si>
    <t>MSCI中国A股ETF</t>
  </si>
  <si>
    <t>红利低波50ETF</t>
  </si>
  <si>
    <t xml:space="preserve"> 标普中国A股大盘红利低波50指数 </t>
  </si>
  <si>
    <t>策略，低波动，红利</t>
  </si>
  <si>
    <t>福建ETF</t>
  </si>
  <si>
    <t xml:space="preserve"> 福建50指数 </t>
  </si>
  <si>
    <t>主题，区域，福建</t>
  </si>
  <si>
    <t>华泰中证500ETF</t>
  </si>
  <si>
    <t>银行业ETF</t>
  </si>
  <si>
    <t>东京证券指数ETF</t>
  </si>
  <si>
    <t xml:space="preserve"> 东证指数 </t>
  </si>
  <si>
    <t>创业板E</t>
  </si>
  <si>
    <t>南方300</t>
  </si>
  <si>
    <t>创业板RT</t>
  </si>
  <si>
    <t xml:space="preserve"> 创业板R指数 </t>
  </si>
  <si>
    <t>融通基金</t>
  </si>
  <si>
    <t>500深ETF</t>
  </si>
  <si>
    <t xml:space="preserve"> 500深市指数 </t>
  </si>
  <si>
    <t>医药卫生ETF</t>
  </si>
  <si>
    <t xml:space="preserve"> 上证医药指数 </t>
  </si>
  <si>
    <t>深TMT</t>
  </si>
  <si>
    <t xml:space="preserve"> TMT50指数 </t>
  </si>
  <si>
    <t>行业，TMT</t>
  </si>
  <si>
    <t>华安沪深300ETF</t>
  </si>
  <si>
    <t xml:space="preserve"> 富时中国A50指数 </t>
  </si>
  <si>
    <t>汇安基金</t>
  </si>
  <si>
    <t>富时A50ETF</t>
  </si>
  <si>
    <t>日经225ETF易方达</t>
  </si>
  <si>
    <t>创新药ETF易方达</t>
  </si>
  <si>
    <t>恒生国企ETF</t>
  </si>
  <si>
    <t>人工智能AIETF</t>
  </si>
  <si>
    <t>中盘ETF</t>
  </si>
  <si>
    <t xml:space="preserve"> 上证中盘指数 </t>
  </si>
  <si>
    <t>低波红利ETF</t>
  </si>
  <si>
    <t xml:space="preserve"> 红利低波100指数 </t>
  </si>
  <si>
    <t>景顺长城基金</t>
  </si>
  <si>
    <t>深成长</t>
  </si>
  <si>
    <t xml:space="preserve"> 成长40指数 </t>
  </si>
  <si>
    <t>黄金基金ETF</t>
  </si>
  <si>
    <t>科技ETF基金</t>
  </si>
  <si>
    <t xml:space="preserve"> 新兴科技100指数 </t>
  </si>
  <si>
    <t>红利低波ETF基金</t>
  </si>
  <si>
    <t xml:space="preserve"> 300红利LV指数 </t>
  </si>
  <si>
    <t>策略，红利，低波动</t>
  </si>
  <si>
    <t>景顺500</t>
  </si>
  <si>
    <t>300ETF基金</t>
  </si>
  <si>
    <t>泰康300</t>
  </si>
  <si>
    <t>泰康资产</t>
  </si>
  <si>
    <t>证券公司</t>
  </si>
  <si>
    <t>化工龙头ETF</t>
  </si>
  <si>
    <t>工银上证50ETF</t>
  </si>
  <si>
    <t>上证综指ETF</t>
  </si>
  <si>
    <t>创业板TH</t>
  </si>
  <si>
    <t>ZZ500ETF</t>
  </si>
  <si>
    <t>游戏动漫ETF</t>
  </si>
  <si>
    <t xml:space="preserve"> 软件指数 </t>
  </si>
  <si>
    <t>工银沪深300ETF</t>
  </si>
  <si>
    <t>上投摩根MSCIAETF</t>
  </si>
  <si>
    <t xml:space="preserve"> MSCI中国A股人民币指数 </t>
  </si>
  <si>
    <t>上投摩根基金</t>
  </si>
  <si>
    <t>中证500ETF易方达</t>
  </si>
  <si>
    <t>沪港深500ETF</t>
  </si>
  <si>
    <t>光伏产业</t>
  </si>
  <si>
    <t>民生加银300ETF</t>
  </si>
  <si>
    <t>民生加银基金</t>
  </si>
  <si>
    <t>生物药</t>
  </si>
  <si>
    <t xml:space="preserve"> 生物医药指数 </t>
  </si>
  <si>
    <t>申万上证50ETF</t>
  </si>
  <si>
    <t>MSCI中国指数ETF</t>
  </si>
  <si>
    <t xml:space="preserve"> MSCI中国A股本地指数 </t>
  </si>
  <si>
    <t>科技100ETF</t>
  </si>
  <si>
    <t xml:space="preserve"> 科技100指数 </t>
  </si>
  <si>
    <t>0-4地债</t>
  </si>
  <si>
    <t xml:space="preserve"> 0-4年地债指数 </t>
  </si>
  <si>
    <t>债券，利率债，地方政府债</t>
  </si>
  <si>
    <t>互联网ETF</t>
  </si>
  <si>
    <t>永赢沪深300ETF</t>
  </si>
  <si>
    <t>永赢基金</t>
  </si>
  <si>
    <t>泰康中证500ETF</t>
  </si>
  <si>
    <t>新能汽车ETF</t>
  </si>
  <si>
    <t>创大盘</t>
  </si>
  <si>
    <t>恒生中国</t>
  </si>
  <si>
    <t>景顺MSCIA股ETF</t>
  </si>
  <si>
    <t>银行行业ETF</t>
  </si>
  <si>
    <t>深100SZ</t>
  </si>
  <si>
    <t>日经225ETF</t>
  </si>
  <si>
    <t>5年地债</t>
  </si>
  <si>
    <t xml:space="preserve"> 5年地债指数 </t>
  </si>
  <si>
    <t>平安中证500ETF</t>
  </si>
  <si>
    <t>创新药产业ETF</t>
  </si>
  <si>
    <t>浦银MSCI中国ETF</t>
  </si>
  <si>
    <t>中证800ETF基金</t>
  </si>
  <si>
    <t>券商ETF基金</t>
  </si>
  <si>
    <t>深100P</t>
  </si>
  <si>
    <t>上海国企ETF</t>
  </si>
  <si>
    <t xml:space="preserve"> 上海国企指数 </t>
  </si>
  <si>
    <t>主题，国企，区域</t>
  </si>
  <si>
    <t>上证券商ETF</t>
  </si>
  <si>
    <t xml:space="preserve"> 上证证券指数 </t>
  </si>
  <si>
    <t>国联安沪深300ETF</t>
  </si>
  <si>
    <t>浦银创业</t>
  </si>
  <si>
    <t>价值100ETF</t>
  </si>
  <si>
    <t xml:space="preserve"> 国信价值指数 </t>
  </si>
  <si>
    <t>科技ETF150</t>
  </si>
  <si>
    <t xml:space="preserve"> TMT150指数 </t>
  </si>
  <si>
    <t>工银中证500ETF</t>
  </si>
  <si>
    <t>永赢500</t>
  </si>
  <si>
    <t>创业板BS</t>
  </si>
  <si>
    <t xml:space="preserve"> 深证成指 </t>
  </si>
  <si>
    <t>ZZ800ETF</t>
  </si>
  <si>
    <t>MSCIETF</t>
  </si>
  <si>
    <t>智能驾驶ETF</t>
  </si>
  <si>
    <t>创业板HX</t>
  </si>
  <si>
    <t>央视50</t>
  </si>
  <si>
    <t xml:space="preserve"> 央视50指数 </t>
  </si>
  <si>
    <t>中融基金</t>
  </si>
  <si>
    <t>证券ETF易方达</t>
  </si>
  <si>
    <t>长三角ETF</t>
  </si>
  <si>
    <t xml:space="preserve"> CS长三角指数 </t>
  </si>
  <si>
    <t>主题，区域，长三角</t>
  </si>
  <si>
    <t>大湾区</t>
  </si>
  <si>
    <t xml:space="preserve"> 中债-0-5年广东省地方政府债全价(总值)指数 </t>
  </si>
  <si>
    <t>浙江国资ETF</t>
  </si>
  <si>
    <t xml:space="preserve"> 浙江国资指数 </t>
  </si>
  <si>
    <t>主题，区域，浙江</t>
  </si>
  <si>
    <t>方正沪深300ETF</t>
  </si>
  <si>
    <t>方正富邦基金</t>
  </si>
  <si>
    <t>方正中证500ETF</t>
  </si>
  <si>
    <t>深F120</t>
  </si>
  <si>
    <t xml:space="preserve"> 深证F120指数 </t>
  </si>
  <si>
    <t>MSCIA股ETF基金</t>
  </si>
  <si>
    <t>MSCI中国招商ETF</t>
  </si>
  <si>
    <t>深100</t>
  </si>
  <si>
    <t>深证ETF</t>
  </si>
  <si>
    <t>杭州湾区ETF</t>
  </si>
  <si>
    <t xml:space="preserve"> 杭州湾区指数 </t>
  </si>
  <si>
    <t>南华基金</t>
  </si>
  <si>
    <t>主题，区域，杭州</t>
  </si>
  <si>
    <t>深价值</t>
  </si>
  <si>
    <t xml:space="preserve"> 深证价值指数 </t>
  </si>
  <si>
    <t>交银施罗德基金</t>
  </si>
  <si>
    <t>深300ETF</t>
  </si>
  <si>
    <t xml:space="preserve"> 深证300指数 </t>
  </si>
  <si>
    <t>浙商之江凤凰ETF</t>
  </si>
  <si>
    <t xml:space="preserve"> 凤凰50指数 </t>
  </si>
  <si>
    <t>浙商证券资管</t>
  </si>
  <si>
    <t>湾区基金</t>
  </si>
  <si>
    <t>一带一路国企ETF</t>
  </si>
  <si>
    <t>500等权ETF</t>
  </si>
  <si>
    <t xml:space="preserve"> 500等权指数 </t>
  </si>
  <si>
    <t>前海开源基金</t>
  </si>
  <si>
    <t>深100ET</t>
  </si>
  <si>
    <t xml:space="preserve"> 深证100R指数 </t>
  </si>
  <si>
    <t>恒生湾区</t>
  </si>
  <si>
    <t xml:space="preserve"> 恒生沪深港通大湾区综合指数 </t>
  </si>
  <si>
    <t>工银MSCI中国ETF</t>
  </si>
  <si>
    <t>浙江100</t>
  </si>
  <si>
    <t xml:space="preserve"> 浙江100指数 </t>
  </si>
  <si>
    <t>中证长三角领先</t>
  </si>
  <si>
    <t xml:space="preserve"> 中证长三角指数 </t>
  </si>
  <si>
    <t>非周期ETF</t>
  </si>
  <si>
    <t xml:space="preserve"> 非周期指数 </t>
  </si>
  <si>
    <t>行业，非周期</t>
  </si>
  <si>
    <t>国寿300ETF</t>
  </si>
  <si>
    <t>MSCIETF新华</t>
  </si>
  <si>
    <t xml:space="preserve"> MSCI中国A股国际指数 </t>
  </si>
  <si>
    <t>新华基金</t>
  </si>
  <si>
    <t>平安MSCI国际ETF</t>
  </si>
  <si>
    <t>京津冀ETF</t>
  </si>
  <si>
    <t xml:space="preserve"> CS京津冀指数 </t>
  </si>
  <si>
    <t>主题，区域</t>
  </si>
  <si>
    <t>四川国改</t>
  </si>
  <si>
    <t xml:space="preserve"> 四川国改指数 </t>
  </si>
  <si>
    <t>医药卫生ETF基金</t>
  </si>
  <si>
    <t>上证380ETF</t>
  </si>
  <si>
    <t xml:space="preserve"> 上证380指数 </t>
  </si>
  <si>
    <t>国寿500ETF</t>
  </si>
  <si>
    <t>中融中证500ETF</t>
  </si>
  <si>
    <t>中银证券500ETF</t>
  </si>
  <si>
    <t>兴业中证500ETF</t>
  </si>
  <si>
    <t>180治理ETF</t>
  </si>
  <si>
    <t xml:space="preserve"> 180治理指数 </t>
  </si>
  <si>
    <t>央调ETF</t>
  </si>
  <si>
    <t>兴业上证50ETF</t>
  </si>
  <si>
    <t>中创400</t>
  </si>
  <si>
    <t xml:space="preserve"> 中创400指数 </t>
  </si>
  <si>
    <t>创业板F</t>
  </si>
  <si>
    <t>中关村A</t>
  </si>
  <si>
    <t xml:space="preserve"> 中关村A指数 </t>
  </si>
  <si>
    <t>深F60</t>
  </si>
  <si>
    <t xml:space="preserve"> 深证F60指数 </t>
  </si>
  <si>
    <t>沪深300低波ETF</t>
  </si>
  <si>
    <t xml:space="preserve"> 300SNLV指数 </t>
  </si>
  <si>
    <t>超大盘ETF</t>
  </si>
  <si>
    <t xml:space="preserve"> 超大盘指数 </t>
  </si>
  <si>
    <t>中银中证100ETF</t>
  </si>
  <si>
    <t>中银基金</t>
  </si>
  <si>
    <t>中小300</t>
  </si>
  <si>
    <t xml:space="preserve"> 中小300指数 </t>
  </si>
  <si>
    <t>兴业金融ETF</t>
  </si>
  <si>
    <t>社会责任ETF</t>
  </si>
  <si>
    <t xml:space="preserve"> 责任指数 </t>
  </si>
  <si>
    <t>中小盘ETF</t>
  </si>
  <si>
    <t xml:space="preserve"> 上证中小指数 </t>
  </si>
  <si>
    <t>创业100</t>
  </si>
  <si>
    <t xml:space="preserve"> 上证国企指数 </t>
  </si>
  <si>
    <t>主题，国企</t>
  </si>
  <si>
    <t>500沪市ETF</t>
  </si>
  <si>
    <t xml:space="preserve"> 500沪市指数 </t>
  </si>
  <si>
    <t>金地ETF</t>
  </si>
  <si>
    <t xml:space="preserve"> 300金融指数 </t>
  </si>
  <si>
    <t>国投瑞银基金</t>
  </si>
  <si>
    <t>中期信用ETF</t>
  </si>
  <si>
    <t xml:space="preserve"> 沪质中高债3-5指数 </t>
  </si>
  <si>
    <t>大湾区ETF</t>
  </si>
  <si>
    <t xml:space="preserve"> 大湾区指数 </t>
  </si>
  <si>
    <t>民企100</t>
  </si>
  <si>
    <t xml:space="preserve"> 民企100指数 </t>
  </si>
  <si>
    <t>主题，民企</t>
  </si>
  <si>
    <t>红利低波ETF</t>
  </si>
  <si>
    <t xml:space="preserve"> 上红低波指数 </t>
  </si>
  <si>
    <t>沪深800ETF</t>
  </si>
  <si>
    <t>工银中证800ETF</t>
  </si>
  <si>
    <t>中银中证800ETF</t>
  </si>
  <si>
    <t>5年地方债ETF</t>
  </si>
  <si>
    <t xml:space="preserve"> 上证5年期地债指数 </t>
  </si>
  <si>
    <t>央企创新</t>
  </si>
  <si>
    <t>央企创新ETF</t>
  </si>
  <si>
    <t>嘉实央企创新ETF</t>
  </si>
  <si>
    <t>湾创100</t>
  </si>
  <si>
    <t xml:space="preserve"> SHS大湾区人民币指数 </t>
  </si>
  <si>
    <t>浙江ETF</t>
  </si>
  <si>
    <t xml:space="preserve"> 浙江新动能人民币指数 </t>
  </si>
  <si>
    <t>成长估值ETF</t>
  </si>
  <si>
    <t xml:space="preserve"> 500成长估值指数 </t>
  </si>
  <si>
    <t>策略，成长，价值</t>
  </si>
  <si>
    <t>地方债ETF</t>
  </si>
  <si>
    <t xml:space="preserve"> 上证1-5年地债指数 </t>
  </si>
  <si>
    <t>长三角地方债ETF</t>
  </si>
  <si>
    <t xml:space="preserve"> 中债-0-3年长三角地方政府债全价(总值)指数 </t>
  </si>
  <si>
    <t>成交额(万元)</t>
    <phoneticPr fontId="1" type="noConversion"/>
  </si>
  <si>
    <t>操作规则</t>
    <phoneticPr fontId="1" type="noConversion"/>
  </si>
  <si>
    <t>VBA获取自：https://www.jisilu.cn/question/99488</t>
    <phoneticPr fontId="1" type="noConversion"/>
  </si>
  <si>
    <t>getStockPrice("sh000001")</t>
    <phoneticPr fontId="1" type="noConversion"/>
  </si>
  <si>
    <t>getLastDayStockPrice("sh000001")</t>
    <phoneticPr fontId="1" type="noConversion"/>
  </si>
  <si>
    <t>最新价</t>
    <phoneticPr fontId="1" type="noConversion"/>
  </si>
  <si>
    <t>昨日收盘价</t>
    <phoneticPr fontId="1" type="noConversion"/>
  </si>
  <si>
    <t>开盘价</t>
    <phoneticPr fontId="1" type="noConversion"/>
  </si>
  <si>
    <t>最高价</t>
    <phoneticPr fontId="1" type="noConversion"/>
  </si>
  <si>
    <t>最低价</t>
    <phoneticPr fontId="1" type="noConversion"/>
  </si>
  <si>
    <t>成交总量</t>
    <phoneticPr fontId="1" type="noConversion"/>
  </si>
  <si>
    <t>getOpenStockPrice( )</t>
    <phoneticPr fontId="1" type="noConversion"/>
  </si>
  <si>
    <t>getMaxStockPrice( )</t>
    <phoneticPr fontId="1" type="noConversion"/>
  </si>
  <si>
    <t>getMinStockPrice( )</t>
    <phoneticPr fontId="1" type="noConversion"/>
  </si>
  <si>
    <t>getTradeVolume( )</t>
    <phoneticPr fontId="1" type="noConversion"/>
  </si>
  <si>
    <t>买</t>
    <phoneticPr fontId="1" type="noConversion"/>
  </si>
  <si>
    <t>513030</t>
    <phoneticPr fontId="1" type="noConversion"/>
  </si>
  <si>
    <t>513100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</si>
</sst>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_ * #,##0_ ;_ * \-#,##0_ ;_ * &quot;-&quot;??_ ;_ @_ "/>
    <numFmt numFmtId="177" formatCode="0.0%"/>
    <numFmt numFmtId="178" formatCode="_ [$¥-804]* #,##0_ ;_ [$¥-804]* \-#,##0_ ;_ [$¥-804]* &quot;-&quot;??_ ;_ @_ "/>
    <numFmt numFmtId="179" formatCode="_ [$¥-804]* #,##0.000_ ;_ [$¥-804]* \-#,##0.000_ ;_ [$¥-804]* &quot;-&quot;??_ ;_ @_ "/>
    <numFmt numFmtId="180" formatCode="yyyy\-mm\-dd;@"/>
    <numFmt numFmtId="181" formatCode="#,##0_ ;[Red]\-#,##0\ "/>
    <numFmt numFmtId="182" formatCode="0_);[Red]\(0\)"/>
    <numFmt numFmtId="183" formatCode="0.0_);[Red]\(0.0\)"/>
  </numFmts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FF00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sz val="1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b/>
      <sz val="14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0" fillId="0" borderId="0">
      <alignment vertical="center"/>
    </xf>
  </cellStyleXfs>
  <cellXfs count="92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/>
    <xf numFmtId="0" fontId="0" fillId="0" borderId="0" xfId="0" applyAlignment="1">
      <alignment horizontal="center"/>
    </xf>
    <xf numFmtId="176" fontId="0" fillId="0" borderId="0" xfId="1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178" fontId="0" fillId="0" borderId="0" xfId="1" applyNumberFormat="1" applyFont="1" applyAlignment="1">
      <alignment horizontal="center"/>
    </xf>
    <xf numFmtId="178" fontId="0" fillId="0" borderId="0" xfId="1" applyNumberFormat="1" applyFont="1" applyAlignment="1"/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Alignment="1"/>
    <xf numFmtId="49" fontId="0" fillId="0" borderId="0" xfId="0" applyNumberFormat="1" applyAlignment="1">
      <alignment vertical="center"/>
    </xf>
    <xf numFmtId="178" fontId="0" fillId="0" borderId="0" xfId="0" applyNumberFormat="1" applyAlignment="1">
      <alignment vertical="center"/>
    </xf>
    <xf numFmtId="177" fontId="0" fillId="0" borderId="0" xfId="2" applyNumberFormat="1" applyFont="1" applyAlignment="1">
      <alignment vertical="center"/>
    </xf>
    <xf numFmtId="178" fontId="0" fillId="0" borderId="0" xfId="2" applyNumberFormat="1" applyFont="1" applyAlignment="1">
      <alignment vertical="center"/>
    </xf>
    <xf numFmtId="179" fontId="0" fillId="0" borderId="0" xfId="0" applyNumberFormat="1" applyAlignment="1">
      <alignment vertical="center"/>
    </xf>
    <xf numFmtId="178" fontId="7" fillId="0" borderId="0" xfId="1" applyNumberFormat="1" applyFont="1" applyAlignment="1"/>
    <xf numFmtId="179" fontId="7" fillId="0" borderId="0" xfId="1" applyNumberFormat="1" applyFont="1" applyAlignment="1"/>
    <xf numFmtId="176" fontId="7" fillId="0" borderId="0" xfId="1" applyNumberFormat="1" applyFont="1" applyAlignment="1"/>
    <xf numFmtId="178" fontId="4" fillId="0" borderId="0" xfId="1" applyNumberFormat="1" applyFont="1" applyAlignment="1"/>
    <xf numFmtId="179" fontId="4" fillId="0" borderId="0" xfId="1" applyNumberFormat="1" applyFont="1" applyAlignment="1"/>
    <xf numFmtId="176" fontId="4" fillId="0" borderId="0" xfId="1" applyNumberFormat="1" applyFont="1" applyAlignment="1"/>
    <xf numFmtId="180" fontId="0" fillId="0" borderId="0" xfId="0" applyNumberFormat="1"/>
    <xf numFmtId="181" fontId="0" fillId="0" borderId="0" xfId="2" applyNumberFormat="1" applyFont="1" applyAlignment="1">
      <alignment vertical="center"/>
    </xf>
    <xf numFmtId="181" fontId="0" fillId="0" borderId="0" xfId="0" applyNumberFormat="1" applyAlignment="1">
      <alignment vertical="center"/>
    </xf>
    <xf numFmtId="0" fontId="4" fillId="0" borderId="0" xfId="0" applyFont="1" applyAlignment="1"/>
    <xf numFmtId="178" fontId="4" fillId="0" borderId="0" xfId="2" applyNumberFormat="1" applyFont="1" applyAlignment="1">
      <alignment vertical="center"/>
    </xf>
    <xf numFmtId="179" fontId="6" fillId="0" borderId="0" xfId="0" applyNumberFormat="1" applyFont="1" applyAlignment="1">
      <alignment vertical="center"/>
    </xf>
    <xf numFmtId="49" fontId="0" fillId="3" borderId="0" xfId="0" applyNumberFormat="1" applyFill="1" applyAlignment="1">
      <alignment vertical="center"/>
    </xf>
    <xf numFmtId="179" fontId="0" fillId="3" borderId="0" xfId="0" applyNumberFormat="1" applyFill="1" applyAlignment="1">
      <alignment vertical="center"/>
    </xf>
    <xf numFmtId="176" fontId="0" fillId="3" borderId="0" xfId="0" applyNumberFormat="1" applyFont="1" applyFill="1" applyAlignment="1">
      <alignment vertical="center"/>
    </xf>
    <xf numFmtId="177" fontId="0" fillId="3" borderId="0" xfId="0" applyNumberFormat="1" applyFont="1" applyFill="1" applyAlignment="1">
      <alignment vertical="center"/>
    </xf>
    <xf numFmtId="178" fontId="0" fillId="3" borderId="0" xfId="0" applyNumberFormat="1" applyFill="1" applyAlignment="1">
      <alignment vertical="center"/>
    </xf>
    <xf numFmtId="178" fontId="5" fillId="3" borderId="0" xfId="0" applyNumberFormat="1" applyFont="1" applyFill="1" applyAlignment="1">
      <alignment vertical="center"/>
    </xf>
    <xf numFmtId="178" fontId="0" fillId="3" borderId="0" xfId="0" applyNumberFormat="1" applyFont="1" applyFill="1" applyAlignment="1">
      <alignment vertical="center"/>
    </xf>
    <xf numFmtId="181" fontId="0" fillId="3" borderId="0" xfId="0" applyNumberFormat="1" applyFont="1" applyFill="1" applyAlignment="1">
      <alignment vertical="center"/>
    </xf>
    <xf numFmtId="176" fontId="0" fillId="4" borderId="0" xfId="1" applyNumberFormat="1" applyFont="1" applyFill="1" applyAlignment="1">
      <alignment vertical="center"/>
    </xf>
    <xf numFmtId="178" fontId="9" fillId="4" borderId="0" xfId="0" applyNumberFormat="1" applyFont="1" applyFill="1" applyAlignment="1">
      <alignment vertical="center"/>
    </xf>
    <xf numFmtId="180" fontId="0" fillId="0" borderId="0" xfId="0" applyNumberFormat="1" applyAlignment="1">
      <alignment horizontal="center"/>
    </xf>
    <xf numFmtId="176" fontId="4" fillId="5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vertical="center"/>
    </xf>
    <xf numFmtId="176" fontId="0" fillId="0" borderId="0" xfId="1" applyNumberFormat="1" applyFont="1" applyFill="1" applyAlignment="1">
      <alignment vertical="center"/>
    </xf>
    <xf numFmtId="0" fontId="9" fillId="6" borderId="0" xfId="0" applyNumberFormat="1" applyFont="1" applyFill="1" applyAlignment="1">
      <alignment vertical="center"/>
    </xf>
    <xf numFmtId="177" fontId="4" fillId="0" borderId="0" xfId="2" applyNumberFormat="1" applyFont="1" applyFill="1" applyAlignment="1">
      <alignment vertical="center"/>
    </xf>
    <xf numFmtId="0" fontId="0" fillId="0" borderId="0" xfId="0" pivotButton="1"/>
    <xf numFmtId="176" fontId="0" fillId="0" borderId="0" xfId="1" applyNumberFormat="1" applyFont="1" applyAlignment="1">
      <alignment vertical="center"/>
    </xf>
    <xf numFmtId="179" fontId="0" fillId="4" borderId="0" xfId="0" applyNumberFormat="1" applyFill="1" applyAlignment="1">
      <alignment vertical="center"/>
    </xf>
    <xf numFmtId="0" fontId="8" fillId="0" borderId="0" xfId="0" applyFont="1" applyAlignment="1">
      <alignment vertical="center"/>
    </xf>
    <xf numFmtId="49" fontId="8" fillId="0" borderId="0" xfId="0" applyNumberFormat="1" applyFont="1" applyAlignment="1">
      <alignment vertical="center"/>
    </xf>
    <xf numFmtId="179" fontId="8" fillId="0" borderId="0" xfId="0" applyNumberFormat="1" applyFont="1" applyAlignment="1">
      <alignment vertical="center"/>
    </xf>
    <xf numFmtId="176" fontId="8" fillId="0" borderId="0" xfId="1" applyNumberFormat="1" applyFont="1" applyAlignment="1">
      <alignment vertical="center"/>
    </xf>
    <xf numFmtId="0" fontId="8" fillId="7" borderId="0" xfId="0" applyFont="1" applyFill="1" applyAlignment="1">
      <alignment vertical="center"/>
    </xf>
    <xf numFmtId="178" fontId="8" fillId="0" borderId="0" xfId="0" applyNumberFormat="1" applyFont="1" applyAlignment="1">
      <alignment vertical="center"/>
    </xf>
    <xf numFmtId="181" fontId="8" fillId="0" borderId="0" xfId="0" applyNumberFormat="1" applyFont="1" applyAlignment="1">
      <alignment vertical="center"/>
    </xf>
    <xf numFmtId="176" fontId="0" fillId="0" borderId="0" xfId="0" applyNumberFormat="1"/>
    <xf numFmtId="176" fontId="0" fillId="0" borderId="0" xfId="0" pivotButton="1" applyNumberFormat="1"/>
    <xf numFmtId="180" fontId="0" fillId="9" borderId="0" xfId="0" applyNumberFormat="1" applyFill="1"/>
    <xf numFmtId="49" fontId="0" fillId="9" borderId="0" xfId="0" applyNumberFormat="1" applyFill="1"/>
    <xf numFmtId="178" fontId="0" fillId="9" borderId="0" xfId="1" applyNumberFormat="1" applyFont="1" applyFill="1" applyAlignment="1"/>
    <xf numFmtId="179" fontId="0" fillId="9" borderId="0" xfId="1" applyNumberFormat="1" applyFont="1" applyFill="1" applyAlignment="1"/>
    <xf numFmtId="176" fontId="0" fillId="9" borderId="0" xfId="1" applyNumberFormat="1" applyFont="1" applyFill="1" applyAlignment="1"/>
    <xf numFmtId="178" fontId="4" fillId="9" borderId="0" xfId="1" applyNumberFormat="1" applyFont="1" applyFill="1" applyAlignment="1"/>
    <xf numFmtId="179" fontId="4" fillId="9" borderId="0" xfId="1" applyNumberFormat="1" applyFont="1" applyFill="1" applyAlignment="1"/>
    <xf numFmtId="176" fontId="4" fillId="9" borderId="0" xfId="1" applyNumberFormat="1" applyFont="1" applyFill="1" applyAlignment="1"/>
    <xf numFmtId="0" fontId="0" fillId="0" borderId="0" xfId="0" applyFill="1"/>
    <xf numFmtId="176" fontId="0" fillId="0" borderId="0" xfId="1" applyNumberFormat="1" applyFont="1" applyFill="1" applyAlignment="1"/>
    <xf numFmtId="0" fontId="0" fillId="3" borderId="1" xfId="0" applyFill="1" applyBorder="1"/>
    <xf numFmtId="182" fontId="0" fillId="0" borderId="0" xfId="0" applyNumberFormat="1"/>
    <xf numFmtId="176" fontId="0" fillId="0" borderId="1" xfId="1" applyNumberFormat="1" applyFont="1" applyFill="1" applyBorder="1" applyAlignment="1"/>
    <xf numFmtId="0" fontId="4" fillId="2" borderId="1" xfId="0" applyFont="1" applyFill="1" applyBorder="1"/>
    <xf numFmtId="182" fontId="0" fillId="2" borderId="1" xfId="0" applyNumberFormat="1" applyFont="1" applyFill="1" applyBorder="1"/>
    <xf numFmtId="177" fontId="4" fillId="0" borderId="1" xfId="2" applyNumberFormat="1" applyFont="1" applyBorder="1" applyAlignment="1">
      <alignment horizontal="center"/>
    </xf>
    <xf numFmtId="182" fontId="4" fillId="0" borderId="1" xfId="2" applyNumberFormat="1" applyFont="1" applyBorder="1" applyAlignment="1">
      <alignment horizontal="center"/>
    </xf>
    <xf numFmtId="0" fontId="3" fillId="8" borderId="2" xfId="0" applyFont="1" applyFill="1" applyBorder="1"/>
    <xf numFmtId="176" fontId="3" fillId="0" borderId="2" xfId="1" applyNumberFormat="1" applyFont="1" applyFill="1" applyBorder="1" applyAlignment="1">
      <alignment horizontal="center"/>
    </xf>
    <xf numFmtId="0" fontId="3" fillId="8" borderId="4" xfId="0" applyFont="1" applyFill="1" applyBorder="1"/>
    <xf numFmtId="176" fontId="3" fillId="0" borderId="4" xfId="1" applyNumberFormat="1" applyFont="1" applyFill="1" applyBorder="1" applyAlignment="1">
      <alignment horizontal="center"/>
    </xf>
    <xf numFmtId="0" fontId="3" fillId="8" borderId="3" xfId="0" applyFont="1" applyFill="1" applyBorder="1"/>
    <xf numFmtId="176" fontId="3" fillId="0" borderId="3" xfId="1" applyNumberFormat="1" applyFont="1" applyFill="1" applyBorder="1" applyAlignment="1">
      <alignment horizontal="center"/>
    </xf>
    <xf numFmtId="10" fontId="0" fillId="0" borderId="0" xfId="0" applyNumberFormat="1" applyAlignment="1">
      <alignment vertical="center"/>
    </xf>
    <xf numFmtId="180" fontId="0" fillId="0" borderId="0" xfId="0" applyNumberFormat="1" applyAlignment="1">
      <alignment vertical="center"/>
    </xf>
    <xf numFmtId="183" fontId="0" fillId="0" borderId="0" xfId="0" applyNumberFormat="1" applyAlignment="1">
      <alignment vertical="center"/>
    </xf>
    <xf numFmtId="183" fontId="0" fillId="0" borderId="0" xfId="0" applyNumberFormat="1"/>
    <xf numFmtId="182" fontId="0" fillId="0" borderId="0" xfId="0" applyNumberFormat="1" applyAlignment="1">
      <alignment vertical="center"/>
    </xf>
    <xf numFmtId="9" fontId="0" fillId="0" borderId="0" xfId="2" applyFont="1" applyAlignment="1">
      <alignment vertical="center"/>
    </xf>
    <xf numFmtId="9" fontId="0" fillId="0" borderId="0" xfId="2" applyFont="1" applyAlignment="1"/>
    <xf numFmtId="183" fontId="6" fillId="0" borderId="0" xfId="0" applyNumberFormat="1" applyFont="1" applyAlignment="1">
      <alignment vertical="center"/>
    </xf>
    <xf numFmtId="182" fontId="6" fillId="0" borderId="0" xfId="0" applyNumberFormat="1" applyFont="1" applyAlignment="1">
      <alignment vertical="center"/>
    </xf>
    <xf numFmtId="0" fontId="11" fillId="0" borderId="0" xfId="0" applyFont="1"/>
    <xf numFmtId="0" fontId="3" fillId="0" borderId="0" xfId="0" applyFont="1"/>
  </cellXfs>
  <cellStyles count="4">
    <cellStyle name="百分比" xfId="2" builtinId="5"/>
    <cellStyle name="常规" xfId="0" builtinId="0"/>
    <cellStyle name="常规 2" xfId="3" xr:uid="{818F4629-D47D-4F3A-8A31-9CF2C169044C}"/>
    <cellStyle name="千位分隔" xfId="1" builtinId="3"/>
  </cellStyles>
  <dxfs count="85">
    <dxf>
      <numFmt numFmtId="176" formatCode="_ * #,##0_ ;_ * \-#,##0_ ;_ * &quot;-&quot;??_ ;_ @_ "/>
    </dxf>
    <dxf>
      <numFmt numFmtId="176" formatCode="_ * #,##0_ ;_ * \-#,##0_ ;_ * &quot;-&quot;??_ ;_ @_ "/>
    </dxf>
    <dxf>
      <numFmt numFmtId="176" formatCode="_ * #,##0_ ;_ * \-#,##0_ ;_ * &quot;-&quot;??_ ;_ @_ "/>
    </dxf>
    <dxf>
      <numFmt numFmtId="30" formatCode="@"/>
    </dxf>
    <dxf>
      <alignment horizontal="center"/>
    </dxf>
    <dxf>
      <alignment horizontal="center"/>
    </dxf>
    <dxf>
      <numFmt numFmtId="176" formatCode="_ * #,##0_ ;_ * \-#,##0_ ;_ * &quot;-&quot;??_ ;_ @_ "/>
    </dxf>
    <dxf>
      <numFmt numFmtId="176" formatCode="_ * #,##0_ ;_ * \-#,##0_ ;_ * &quot;-&quot;??_ ;_ @_ "/>
    </dxf>
    <dxf>
      <numFmt numFmtId="176" formatCode="_ * #,##0_ ;_ * \-#,##0_ ;_ * &quot;-&quot;??_ ;_ @_ "/>
    </dxf>
    <dxf>
      <numFmt numFmtId="30" formatCode="@"/>
    </dxf>
    <dxf>
      <alignment horizontal="center"/>
    </dxf>
    <dxf>
      <alignment horizontal="center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0" formatCode="yyyy\-mm\-dd;@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4" formatCode="0.00%"/>
      <alignment horizontal="general" vertical="center" textRotation="0" wrapText="0" indent="0" justifyLastLine="0" shrinkToFit="0" readingOrder="0"/>
    </dxf>
    <dxf>
      <numFmt numFmtId="183" formatCode="0.0_);[Red]\(0.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2" formatCode="0_);[Red]\(0\)"/>
      <alignment horizontal="general" vertical="center" textRotation="0" wrapText="0" indent="0" justifyLastLine="0" shrinkToFit="0" readingOrder="0"/>
    </dxf>
    <dxf>
      <numFmt numFmtId="14" formatCode="0.00%"/>
      <alignment horizontal="general" vertical="center" textRotation="0" wrapText="0" indent="0" justifyLastLine="0" shrinkToFit="0" readingOrder="0"/>
    </dxf>
    <dxf>
      <numFmt numFmtId="14" formatCode="0.00%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78" formatCode="_ [$¥-804]* #,##0_ ;_ [$¥-804]* \-#,##0_ ;_ [$¥-804]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_ [$¥-804]* #,##0_ ;_ [$¥-804]* \-#,##0_ ;_ [$¥-804]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79" formatCode="_ [$¥-804]* #,##0.000_ ;_ [$¥-804]* \-#,##0.000_ ;_ [$¥-804]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_ [$¥-804]* #,##0.000_ ;_ [$¥-804]* \-#,##0.000_ ;_ [$¥-804]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_ * #,##0_ ;_ * \-#,##0_ ;_ 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79" formatCode="_ [$¥-804]* #,##0.000_ ;_ [$¥-804]* \-#,##0.000_ ;_ [$¥-804]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_ [$¥-804]* #,##0.000_ ;_ [$¥-804]* \-#,##0.000_ ;_ [$¥-804]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78" formatCode="_ [$¥-804]* #,##0_ ;_ [$¥-804]* \-#,##0_ ;_ [$¥-804]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_ [$¥-804]* #,##0_ ;_ [$¥-804]* \-#,##0_ ;_ [$¥-804]* &quot;-&quot;??_ ;_ @_ 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180" formatCode="yyyy\-mm\-dd;@"/>
    </dxf>
    <dxf>
      <numFmt numFmtId="180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_ * #,##0_ ;_ * \-#,##0_ ;_ * &quot;-&quot;??_ ;_ @_ "/>
      <alignment horizontal="center" vertical="bottom" textRotation="0" wrapText="0" indent="0" justifyLastLine="0" shrinkToFit="0" readingOrder="0"/>
    </dxf>
    <dxf>
      <alignment horizontal="center"/>
    </dxf>
    <dxf>
      <alignment horizontal="center"/>
    </dxf>
    <dxf>
      <numFmt numFmtId="30" formatCode="@"/>
    </dxf>
    <dxf>
      <numFmt numFmtId="176" formatCode="_ * #,##0_ ;_ * \-#,##0_ ;_ * &quot;-&quot;??_ ;_ @_ "/>
    </dxf>
    <dxf>
      <numFmt numFmtId="176" formatCode="_ * #,##0_ ;_ * \-#,##0_ ;_ * &quot;-&quot;??_ ;_ @_ "/>
    </dxf>
    <dxf>
      <numFmt numFmtId="17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81" formatCode="#,##0_ ;[Red]\-#,##0\ 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81" formatCode="#,##0_ ;[Red]\-#,##0\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81" formatCode="#,##0_ ;[Red]\-#,##0\ 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81" formatCode="#,##0_ ;[Red]\-#,##0\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78" formatCode="_ [$¥-804]* #,##0_ ;_ [$¥-804]* \-#,##0_ ;_ [$¥-804]* &quot;-&quot;??_ ;_ @_ 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78" formatCode="_ [$¥-804]* #,##0_ ;_ [$¥-804]* \-#,##0_ ;_ [$¥-804]* &quot;-&quot;??_ ;_ @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等线"/>
        <family val="2"/>
        <scheme val="minor"/>
      </font>
      <numFmt numFmtId="178" formatCode="_ [$¥-804]* #,##0_ ;_ [$¥-804]* \-#,##0_ ;_ [$¥-804]* &quot;-&quot;??_ ;_ @_ 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_ [$¥-804]* #,##0_ ;_ [$¥-804]* \-#,##0_ ;_ [$¥-804]* &quot;-&quot;??_ ;_ @_ "/>
      <alignment horizontal="general" vertical="center" textRotation="0" wrapText="0" indent="0" justifyLastLine="0" shrinkToFit="0" readingOrder="0"/>
    </dxf>
    <dxf>
      <numFmt numFmtId="178" formatCode="_ [$¥-804]* #,##0_ ;_ [$¥-804]* \-#,##0_ ;_ [$¥-804]* &quot;-&quot;??_ ;_ @_ 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numFmt numFmtId="178" formatCode="_ [$¥-804]* #,##0_ ;_ [$¥-804]* \-#,##0_ ;_ [$¥-804]* &quot;-&quot;??_ ;_ @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77" formatCode="0.0%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76" formatCode="_ * #,##0_ ;_ * \-#,##0_ ;_ * &quot;-&quot;??_ ;_ @_ 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numFmt numFmtId="176" formatCode="_ * #,##0_ ;_ * \-#,##0_ ;_ * &quot;-&quot;??_ ;_ @_ 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scheme val="minor"/>
      </font>
      <numFmt numFmtId="176" formatCode="_ * #,##0_ ;_ * \-#,##0_ ;_ * &quot;-&quot;??_ ;_ @_ 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numFmt numFmtId="176" formatCode="_ * #,##0_ ;_ * \-#,##0_ ;_ * &quot;-&quot;??_ ;_ @_ "/>
      <alignment horizontal="general" vertical="center" textRotation="0" wrapText="0" indent="0" justifyLastLine="0" shrinkToFit="0" readingOrder="0"/>
    </dxf>
    <dxf>
      <numFmt numFmtId="179" formatCode="_ [$¥-804]* #,##0.000_ ;_ [$¥-804]* \-#,##0.000_ ;_ [$¥-804]* &quot;-&quot;??_ ;_ @_ 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numFmt numFmtId="179" formatCode="_ [$¥-804]* #,##0.000_ ;_ [$¥-804]* \-#,##0.000_ ;_ [$¥-804]* &quot;-&quot;??_ ;_ @_ "/>
      <alignment horizontal="general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等线"/>
        <charset val="134"/>
        <scheme val="minor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4269.695277314815" createdVersion="6" refreshedVersion="6" minRefreshableVersion="3" recordCount="194" xr:uid="{42861CA2-DFD7-465F-81F0-33BC7C674DB0}">
  <cacheSource type="worksheet">
    <worksheetSource name="表2"/>
  </cacheSource>
  <cacheFields count="10">
    <cacheField name="成交日期" numFmtId="180">
      <sharedItems containsSemiMixedTypes="0" containsNonDate="0" containsDate="1" containsString="0" minDate="2019-08-12T00:00:00" maxDate="2021-03-15T00:00:00" count="42">
        <d v="2021-03-14T00:00:00"/>
        <d v="2019-08-12T00:00:00"/>
        <d v="2020-02-25T00:00:00"/>
        <d v="2020-08-04T00:00:00"/>
        <d v="2020-08-28T00:00:00"/>
        <d v="2020-08-31T00:00:00"/>
        <d v="2020-09-01T00:00:00"/>
        <d v="2020-09-16T00:00:00"/>
        <d v="2020-09-24T00:00:00"/>
        <d v="2020-10-22T00:00:00"/>
        <d v="2020-10-30T00:00:00"/>
        <d v="2020-11-05T00:00:00"/>
        <d v="2020-11-12T00:00:00"/>
        <d v="2020-11-17T00:00:00"/>
        <d v="2020-11-25T00:00:00"/>
        <d v="2020-11-27T00:00:00"/>
        <d v="2020-12-18T00:00:00"/>
        <d v="2021-01-04T00:00:00"/>
        <d v="2021-01-05T00:00:00"/>
        <d v="2021-01-08T00:00:00"/>
        <d v="2021-01-13T00:00:00"/>
        <d v="2021-01-14T00:00:00"/>
        <d v="2021-01-26T00:00:00"/>
        <d v="2021-02-02T00:00:00"/>
        <d v="2021-02-04T00:00:00"/>
        <d v="2021-02-08T00:00:00"/>
        <d v="2021-02-09T00:00:00"/>
        <d v="2021-02-18T00:00:00"/>
        <d v="2021-02-19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8T00:00:00"/>
        <d v="2021-03-09T00:00:00"/>
        <d v="2021-03-10T00:00:00"/>
        <d v="2021-03-12T00:00:00"/>
        <d v="2021-03-06T00:00:00" u="1"/>
        <d v="2021-03-11T00:00:00" u="1"/>
      </sharedItems>
    </cacheField>
    <cacheField name="证券代码" numFmtId="49">
      <sharedItems containsMixedTypes="1" containsNumber="1" containsInteger="1" minValue="159929" maxValue="513880" count="25">
        <s v="513100"/>
        <s v="513500"/>
        <s v="513660"/>
        <s v="159952"/>
        <s v="510310"/>
        <s v="513880"/>
        <s v="513030"/>
        <s v="国开债"/>
        <s v="510210"/>
        <s v="513000"/>
        <s v="159964"/>
        <s v="513080"/>
        <s v="159929"/>
        <n v="513080" u="1"/>
        <n v="513880" u="1"/>
        <n v="513100" u="1"/>
        <n v="159952" u="1"/>
        <n v="513030" u="1"/>
        <n v="510210" u="1"/>
        <n v="513000" u="1"/>
        <n v="159964" u="1"/>
        <n v="159929" u="1"/>
        <n v="513500" u="1"/>
        <n v="513660" u="1"/>
        <n v="510310" u="1"/>
      </sharedItems>
      <fieldGroup par="8"/>
    </cacheField>
    <cacheField name="证券名称" numFmtId="0">
      <sharedItems/>
    </cacheField>
    <cacheField name="操作" numFmtId="179">
      <sharedItems containsBlank="1"/>
    </cacheField>
    <cacheField name="成交数量" numFmtId="176">
      <sharedItems containsString="0" containsBlank="1" containsNumber="1" containsInteger="1" minValue="100" maxValue="22700"/>
    </cacheField>
    <cacheField name="成交均价" numFmtId="179">
      <sharedItems containsString="0" containsBlank="1" containsNumber="1" minValue="0.97599999999999998" maxValue="5.234"/>
    </cacheField>
    <cacheField name="发生金额" numFmtId="178">
      <sharedItems containsSemiMixedTypes="0" containsString="0" containsNumber="1" minValue="-28082.71" maxValue="28647.4"/>
    </cacheField>
    <cacheField name="交割单原始日期" numFmtId="0">
      <sharedItems containsString="0" containsBlank="1" containsNumber="1" containsInteger="1" minValue="20210223" maxValue="20210312"/>
    </cacheField>
    <cacheField name="证券代码2" numFmtId="0" databaseField="0">
      <fieldGroup par="9" base="1">
        <discretePr count="25">
          <x v="19"/>
          <x v="20"/>
          <x v="14"/>
          <x v="18"/>
          <x v="13"/>
          <x v="22"/>
          <x v="21"/>
          <x v="12"/>
          <x v="15"/>
          <x v="22"/>
          <x v="18"/>
          <x v="17"/>
          <x v="16"/>
          <x v="0"/>
          <x v="1"/>
          <x v="2"/>
          <x v="3"/>
          <x v="4"/>
          <x v="5"/>
          <x v="6"/>
          <x v="7"/>
          <x v="8"/>
          <x v="9"/>
          <x v="10"/>
          <x v="11"/>
        </discretePr>
        <groupItems count="23">
          <n v="513080"/>
          <n v="513880"/>
          <n v="513100"/>
          <n v="159952"/>
          <n v="513030"/>
          <n v="510210"/>
          <n v="513000"/>
          <n v="159964"/>
          <n v="159929"/>
          <n v="513500"/>
          <n v="513660"/>
          <n v="510310"/>
          <s v="国开债"/>
          <s v="510310"/>
          <s v="513660"/>
          <s v="510210"/>
          <s v="159929"/>
          <s v="513080"/>
          <s v="数据组1"/>
          <s v="513100"/>
          <s v="513500"/>
          <s v="513030"/>
          <s v="数据组2"/>
        </groupItems>
      </fieldGroup>
    </cacheField>
    <cacheField name="证券代码2" numFmtId="0" databaseField="0">
      <fieldGroup base="1">
        <discretePr count="25">
          <x v="13"/>
          <x v="13"/>
          <x v="14"/>
          <x v="14"/>
          <x v="14"/>
          <x v="15"/>
          <x v="15"/>
          <x v="12"/>
          <x v="14"/>
          <x v="15"/>
          <x v="14"/>
          <x v="15"/>
          <x v="14"/>
          <x v="0"/>
          <x v="1"/>
          <x v="2"/>
          <x v="3"/>
          <x v="4"/>
          <x v="5"/>
          <x v="6"/>
          <x v="7"/>
          <x v="8"/>
          <x v="9"/>
          <x v="10"/>
          <x v="11"/>
        </discretePr>
        <groupItems count="16">
          <n v="513080"/>
          <n v="513880"/>
          <n v="513100"/>
          <n v="159952"/>
          <n v="513030"/>
          <n v="510210"/>
          <n v="513000"/>
          <n v="159964"/>
          <n v="159929"/>
          <n v="513500"/>
          <n v="513660"/>
          <n v="510310"/>
          <s v="国开债"/>
          <s v="数据组3"/>
          <s v="数据组1"/>
          <s v="数据组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4">
  <r>
    <x v="0"/>
    <x v="0"/>
    <s v="纳指ETF"/>
    <m/>
    <m/>
    <m/>
    <n v="28538.399999999998"/>
    <m/>
  </r>
  <r>
    <x v="0"/>
    <x v="1"/>
    <s v="标普500"/>
    <m/>
    <m/>
    <m/>
    <n v="28473.399999999998"/>
    <m/>
  </r>
  <r>
    <x v="0"/>
    <x v="2"/>
    <s v="恒生通"/>
    <m/>
    <m/>
    <m/>
    <n v="18747.600000000002"/>
    <m/>
  </r>
  <r>
    <x v="0"/>
    <x v="3"/>
    <s v="创业ＥＴＦ"/>
    <m/>
    <m/>
    <m/>
    <n v="19212"/>
    <m/>
  </r>
  <r>
    <x v="0"/>
    <x v="4"/>
    <s v="HS300ETF"/>
    <m/>
    <m/>
    <m/>
    <n v="19147"/>
    <m/>
  </r>
  <r>
    <x v="0"/>
    <x v="5"/>
    <s v="日经225"/>
    <m/>
    <m/>
    <m/>
    <n v="28647.4"/>
    <m/>
  </r>
  <r>
    <x v="0"/>
    <x v="6"/>
    <s v="德国30"/>
    <m/>
    <m/>
    <m/>
    <n v="28389.8"/>
    <m/>
  </r>
  <r>
    <x v="0"/>
    <x v="7"/>
    <s v="国开债"/>
    <m/>
    <m/>
    <m/>
    <n v="18916.599999999999"/>
    <m/>
  </r>
  <r>
    <x v="1"/>
    <x v="1"/>
    <s v="标普500"/>
    <s v="买"/>
    <n v="5200"/>
    <n v="1.93"/>
    <n v="-10042.02"/>
    <m/>
  </r>
  <r>
    <x v="1"/>
    <x v="6"/>
    <s v="德国30"/>
    <s v="买"/>
    <n v="9900"/>
    <n v="1.0069999999999999"/>
    <n v="-9975.2800000000007"/>
    <m/>
  </r>
  <r>
    <x v="1"/>
    <x v="0"/>
    <s v="纳指ETF"/>
    <s v="买"/>
    <n v="3500"/>
    <n v="2.8149999999999999"/>
    <n v="-9858.41"/>
    <m/>
  </r>
  <r>
    <x v="1"/>
    <x v="2"/>
    <s v="恒生通"/>
    <s v="买"/>
    <n v="2000"/>
    <n v="2.4769999999999999"/>
    <n v="-4959"/>
    <m/>
  </r>
  <r>
    <x v="1"/>
    <x v="8"/>
    <s v="综指ETF"/>
    <s v="买"/>
    <n v="1400"/>
    <n v="3.5339999999999998"/>
    <n v="-4952.6000000000004"/>
    <m/>
  </r>
  <r>
    <x v="1"/>
    <x v="9"/>
    <s v="225ETF"/>
    <s v="买"/>
    <n v="9900"/>
    <n v="1.006"/>
    <n v="-9965.3799999999992"/>
    <m/>
  </r>
  <r>
    <x v="2"/>
    <x v="8"/>
    <s v="综指ETF"/>
    <s v="买"/>
    <n v="800"/>
    <n v="3.895"/>
    <n v="-3121"/>
    <m/>
  </r>
  <r>
    <x v="2"/>
    <x v="9"/>
    <s v="225ETF"/>
    <s v="买"/>
    <n v="6200"/>
    <n v="1.0529999999999999"/>
    <n v="-6533.6"/>
    <m/>
  </r>
  <r>
    <x v="2"/>
    <x v="6"/>
    <s v="德国30"/>
    <s v="买"/>
    <n v="5900"/>
    <n v="1.0820000000000001"/>
    <n v="-6388.8"/>
    <m/>
  </r>
  <r>
    <x v="2"/>
    <x v="0"/>
    <s v="纳指ETF"/>
    <s v="买"/>
    <n v="100"/>
    <n v="3.528"/>
    <n v="-357.8"/>
    <m/>
  </r>
  <r>
    <x v="2"/>
    <x v="1"/>
    <s v="标普500"/>
    <s v="买"/>
    <n v="800"/>
    <n v="2.14"/>
    <n v="-1717"/>
    <m/>
  </r>
  <r>
    <x v="2"/>
    <x v="2"/>
    <s v="恒生通"/>
    <s v="买"/>
    <n v="1300"/>
    <n v="2.597"/>
    <n v="-3381.1"/>
    <m/>
  </r>
  <r>
    <x v="2"/>
    <x v="10"/>
    <s v="创业板PA"/>
    <s v="买"/>
    <n v="6400"/>
    <n v="1.329"/>
    <n v="-8510.7000000000007"/>
    <m/>
  </r>
  <r>
    <x v="3"/>
    <x v="8"/>
    <s v="综指ETF"/>
    <s v="卖"/>
    <n v="2200"/>
    <n v="4.6449999999999996"/>
    <n v="10212.870000000001"/>
    <m/>
  </r>
  <r>
    <x v="3"/>
    <x v="9"/>
    <s v="225ETF"/>
    <s v="买"/>
    <n v="1300"/>
    <n v="1.091"/>
    <n v="-1423.3"/>
    <m/>
  </r>
  <r>
    <x v="3"/>
    <x v="0"/>
    <s v="纳指ETF"/>
    <s v="买"/>
    <n v="1200"/>
    <n v="3.96"/>
    <n v="-4757"/>
    <m/>
  </r>
  <r>
    <x v="3"/>
    <x v="1"/>
    <s v="标普500"/>
    <s v="买"/>
    <n v="2800"/>
    <n v="2.1520000000000001"/>
    <n v="-6030.6"/>
    <m/>
  </r>
  <r>
    <x v="3"/>
    <x v="6"/>
    <s v="德国30"/>
    <s v="卖"/>
    <n v="1500"/>
    <n v="1.101"/>
    <n v="1646.5"/>
    <m/>
  </r>
  <r>
    <x v="3"/>
    <x v="11"/>
    <s v="法国ETF"/>
    <s v="买"/>
    <n v="15300"/>
    <n v="1.028"/>
    <n v="-15737.84"/>
    <m/>
  </r>
  <r>
    <x v="3"/>
    <x v="2"/>
    <s v="恒生通"/>
    <s v="买"/>
    <n v="800"/>
    <n v="2.5019999999999998"/>
    <n v="-2006.6"/>
    <m/>
  </r>
  <r>
    <x v="3"/>
    <x v="4"/>
    <s v="HS300ETF"/>
    <s v="买"/>
    <n v="4700"/>
    <n v="2.1659999999999999"/>
    <n v="-10186.31"/>
    <m/>
  </r>
  <r>
    <x v="3"/>
    <x v="10"/>
    <s v="创业板PA"/>
    <s v="卖"/>
    <n v="400"/>
    <n v="1.681"/>
    <n v="667.4"/>
    <m/>
  </r>
  <r>
    <x v="3"/>
    <x v="12"/>
    <s v="医药ETF"/>
    <s v="买"/>
    <n v="3000"/>
    <n v="2.54"/>
    <n v="-7625"/>
    <m/>
  </r>
  <r>
    <x v="4"/>
    <x v="0"/>
    <s v="纳指ETF"/>
    <s v="卖"/>
    <n v="200"/>
    <n v="4.6399999999999997"/>
    <n v="923"/>
    <m/>
  </r>
  <r>
    <x v="4"/>
    <x v="12"/>
    <s v="医药ETF"/>
    <s v="买"/>
    <n v="200"/>
    <n v="2.4049999999999998"/>
    <n v="-486"/>
    <m/>
  </r>
  <r>
    <x v="4"/>
    <x v="10"/>
    <s v="创业板PA"/>
    <s v="买"/>
    <n v="300"/>
    <n v="1.609"/>
    <n v="-487.7"/>
    <m/>
  </r>
  <r>
    <x v="5"/>
    <x v="0"/>
    <s v="纳指ETF"/>
    <s v="卖"/>
    <n v="200"/>
    <n v="4.9450000000000003"/>
    <n v="984"/>
    <m/>
  </r>
  <r>
    <x v="5"/>
    <x v="9"/>
    <s v="225ETF"/>
    <s v="买"/>
    <n v="500"/>
    <n v="1.1120000000000001"/>
    <n v="-561"/>
    <m/>
  </r>
  <r>
    <x v="5"/>
    <x v="11"/>
    <s v="法国ETF"/>
    <s v="买"/>
    <n v="500"/>
    <n v="1.0489999999999999"/>
    <n v="-529.5"/>
    <m/>
  </r>
  <r>
    <x v="6"/>
    <x v="0"/>
    <s v="纳指ETF"/>
    <s v="卖"/>
    <n v="100"/>
    <n v="5.234"/>
    <n v="518.4"/>
    <m/>
  </r>
  <r>
    <x v="6"/>
    <x v="6"/>
    <s v="德国30"/>
    <s v="买"/>
    <n v="400"/>
    <n v="1.121"/>
    <n v="-453.4"/>
    <m/>
  </r>
  <r>
    <x v="7"/>
    <x v="0"/>
    <s v="纳指ETF"/>
    <s v="卖"/>
    <n v="200"/>
    <n v="4.9379999999999997"/>
    <n v="982.6"/>
    <m/>
  </r>
  <r>
    <x v="7"/>
    <x v="10"/>
    <s v="创业板PA"/>
    <s v="买"/>
    <n v="400"/>
    <n v="1.55"/>
    <n v="-625"/>
    <m/>
  </r>
  <r>
    <x v="7"/>
    <x v="12"/>
    <s v="医药ETF"/>
    <s v="买"/>
    <n v="200"/>
    <n v="2.2690000000000001"/>
    <n v="-458.8"/>
    <m/>
  </r>
  <r>
    <x v="8"/>
    <x v="9"/>
    <s v="225ETF"/>
    <s v="卖"/>
    <n v="600"/>
    <n v="1.1020000000000001"/>
    <n v="656.2"/>
    <m/>
  </r>
  <r>
    <x v="8"/>
    <x v="2"/>
    <s v="恒生通"/>
    <s v="买"/>
    <n v="200"/>
    <n v="2.3039999999999998"/>
    <n v="-465.8"/>
    <m/>
  </r>
  <r>
    <x v="9"/>
    <x v="7"/>
    <s v="国开债"/>
    <s v="买"/>
    <m/>
    <m/>
    <n v="-5052.78"/>
    <m/>
  </r>
  <r>
    <x v="9"/>
    <x v="6"/>
    <s v="德国30"/>
    <s v="买"/>
    <n v="500"/>
    <n v="1.0429999999999999"/>
    <n v="-526.5"/>
    <m/>
  </r>
  <r>
    <x v="9"/>
    <x v="0"/>
    <s v="纳指ETF"/>
    <s v="买"/>
    <n v="500"/>
    <n v="4.5540000000000003"/>
    <n v="-2282"/>
    <m/>
  </r>
  <r>
    <x v="9"/>
    <x v="2"/>
    <s v="恒生通"/>
    <s v="买"/>
    <n v="500"/>
    <n v="2.3769999999999998"/>
    <n v="-1193.5"/>
    <m/>
  </r>
  <r>
    <x v="9"/>
    <x v="4"/>
    <s v="HS300ETF"/>
    <s v="买"/>
    <n v="500"/>
    <n v="2.1629999999999998"/>
    <n v="-1086.5"/>
    <m/>
  </r>
  <r>
    <x v="9"/>
    <x v="1"/>
    <s v="标普500"/>
    <s v="买"/>
    <n v="1000"/>
    <n v="2.1539999999999999"/>
    <n v="-2159"/>
    <m/>
  </r>
  <r>
    <x v="9"/>
    <x v="9"/>
    <s v="225ETF"/>
    <s v="买"/>
    <n v="1900"/>
    <n v="1.1060000000000001"/>
    <n v="-2106.4"/>
    <m/>
  </r>
  <r>
    <x v="9"/>
    <x v="6"/>
    <s v="德国30"/>
    <s v="买"/>
    <n v="1800"/>
    <n v="1.044"/>
    <n v="-1884.2"/>
    <m/>
  </r>
  <r>
    <x v="9"/>
    <x v="11"/>
    <s v="法国ETF"/>
    <s v="买"/>
    <n v="2200"/>
    <n v="0.98299999999999998"/>
    <n v="-2167.6"/>
    <m/>
  </r>
  <r>
    <x v="9"/>
    <x v="10"/>
    <s v="创业板PA"/>
    <s v="卖"/>
    <n v="300"/>
    <n v="1.591"/>
    <n v="472.3"/>
    <m/>
  </r>
  <r>
    <x v="9"/>
    <x v="12"/>
    <s v="医药ETF"/>
    <s v="买"/>
    <n v="300"/>
    <n v="2.294"/>
    <n v="-693.2"/>
    <m/>
  </r>
  <r>
    <x v="9"/>
    <x v="10"/>
    <s v="创业板PA"/>
    <s v="买"/>
    <n v="700"/>
    <n v="1.605"/>
    <n v="-1128.5"/>
    <m/>
  </r>
  <r>
    <x v="10"/>
    <x v="9"/>
    <s v="225ETF"/>
    <s v="卖"/>
    <n v="500"/>
    <n v="1.0960000000000001"/>
    <n v="543"/>
    <m/>
  </r>
  <r>
    <x v="10"/>
    <x v="0"/>
    <s v="纳指ETF"/>
    <s v="买"/>
    <n v="200"/>
    <n v="4.2869999999999999"/>
    <n v="-862.4"/>
    <m/>
  </r>
  <r>
    <x v="10"/>
    <x v="10"/>
    <s v="创业板PA"/>
    <s v="卖"/>
    <n v="200"/>
    <n v="1.6040000000000001"/>
    <n v="315.8"/>
    <m/>
  </r>
  <r>
    <x v="11"/>
    <x v="0"/>
    <s v="纳指ETF"/>
    <s v="卖"/>
    <n v="200"/>
    <n v="4.7430000000000003"/>
    <n v="943.6"/>
    <m/>
  </r>
  <r>
    <x v="11"/>
    <x v="6"/>
    <s v="德国30"/>
    <s v="买"/>
    <n v="600"/>
    <n v="1.0089999999999999"/>
    <n v="-610.4"/>
    <m/>
  </r>
  <r>
    <x v="11"/>
    <x v="11"/>
    <s v="法国ETF"/>
    <s v="买"/>
    <n v="400"/>
    <n v="0.97599999999999998"/>
    <n v="-395.4"/>
    <m/>
  </r>
  <r>
    <x v="12"/>
    <x v="11"/>
    <s v="法国ETF"/>
    <s v="卖"/>
    <n v="1300"/>
    <n v="1.0620000000000001"/>
    <n v="1375.6"/>
    <m/>
  </r>
  <r>
    <x v="12"/>
    <x v="6"/>
    <s v="德国30"/>
    <s v="卖"/>
    <n v="600"/>
    <n v="1.0669999999999999"/>
    <n v="635.20000000000005"/>
    <m/>
  </r>
  <r>
    <x v="12"/>
    <x v="0"/>
    <s v="纳指ETF"/>
    <s v="买"/>
    <n v="400"/>
    <n v="4.4290000000000003"/>
    <n v="-1776.6"/>
    <m/>
  </r>
  <r>
    <x v="12"/>
    <x v="12"/>
    <s v="医药ETF"/>
    <s v="买"/>
    <n v="200"/>
    <n v="2.238"/>
    <n v="-452.6"/>
    <m/>
  </r>
  <r>
    <x v="13"/>
    <x v="2"/>
    <s v="恒生通"/>
    <s v="卖"/>
    <n v="200"/>
    <n v="2.5099999999999998"/>
    <n v="497"/>
    <m/>
  </r>
  <r>
    <x v="13"/>
    <x v="10"/>
    <s v="创业板PA"/>
    <s v="买"/>
    <n v="400"/>
    <n v="1.625"/>
    <n v="-655"/>
    <m/>
  </r>
  <r>
    <x v="14"/>
    <x v="9"/>
    <s v="225ETF"/>
    <s v="卖"/>
    <n v="600"/>
    <n v="1.234"/>
    <n v="735.4"/>
    <m/>
  </r>
  <r>
    <x v="14"/>
    <x v="0"/>
    <s v="纳指ETF"/>
    <s v="买"/>
    <n v="200"/>
    <n v="4.3259999999999996"/>
    <n v="-870.2"/>
    <m/>
  </r>
  <r>
    <x v="15"/>
    <x v="11"/>
    <s v="法国ETF"/>
    <s v="卖"/>
    <n v="500"/>
    <n v="1.097"/>
    <n v="543.5"/>
    <m/>
  </r>
  <r>
    <x v="15"/>
    <x v="12"/>
    <s v="医药ETF"/>
    <s v="买"/>
    <n v="300"/>
    <n v="2.1040000000000001"/>
    <n v="-636.20000000000005"/>
    <m/>
  </r>
  <r>
    <x v="16"/>
    <x v="6"/>
    <s v="德国30"/>
    <s v="卖"/>
    <n v="500"/>
    <n v="1.135"/>
    <n v="562.5"/>
    <m/>
  </r>
  <r>
    <x v="16"/>
    <x v="2"/>
    <s v="恒生通"/>
    <s v="买"/>
    <n v="200"/>
    <n v="2.52"/>
    <n v="-509"/>
    <m/>
  </r>
  <r>
    <x v="16"/>
    <x v="12"/>
    <s v="医药ETF"/>
    <s v="卖"/>
    <n v="300"/>
    <n v="2.3149999999999999"/>
    <n v="689.5"/>
    <m/>
  </r>
  <r>
    <x v="17"/>
    <x v="11"/>
    <s v="法国ETF"/>
    <s v="买"/>
    <n v="200"/>
    <n v="1.129"/>
    <n v="-230.8"/>
    <m/>
  </r>
  <r>
    <x v="17"/>
    <x v="1"/>
    <s v="标普500"/>
    <s v="买"/>
    <n v="200"/>
    <n v="2.2919999999999998"/>
    <n v="-463.4"/>
    <m/>
  </r>
  <r>
    <x v="17"/>
    <x v="10"/>
    <s v="创业板PA"/>
    <s v="卖"/>
    <n v="400"/>
    <n v="1.8140000000000001"/>
    <n v="720.6"/>
    <m/>
  </r>
  <r>
    <x v="18"/>
    <x v="4"/>
    <s v="HS300ETF"/>
    <s v="买"/>
    <n v="200"/>
    <n v="2.4039999999999999"/>
    <n v="-485.8"/>
    <m/>
  </r>
  <r>
    <x v="18"/>
    <x v="2"/>
    <s v="恒生通"/>
    <s v="买"/>
    <n v="200"/>
    <n v="2.573"/>
    <n v="-519.6"/>
    <m/>
  </r>
  <r>
    <x v="18"/>
    <x v="9"/>
    <s v="225ETF"/>
    <s v="买"/>
    <n v="1100"/>
    <n v="1.258"/>
    <n v="-1388.8"/>
    <m/>
  </r>
  <r>
    <x v="18"/>
    <x v="1"/>
    <s v="标普500"/>
    <s v="买"/>
    <n v="700"/>
    <n v="2.2480000000000002"/>
    <n v="-1578.6"/>
    <m/>
  </r>
  <r>
    <x v="18"/>
    <x v="11"/>
    <s v="法国ETF"/>
    <s v="买"/>
    <n v="1100"/>
    <n v="1.1240000000000001"/>
    <n v="-1241.4000000000001"/>
    <m/>
  </r>
  <r>
    <x v="18"/>
    <x v="6"/>
    <s v="德国30"/>
    <s v="买"/>
    <n v="1200"/>
    <n v="1.137"/>
    <n v="-1369.4"/>
    <m/>
  </r>
  <r>
    <x v="18"/>
    <x v="0"/>
    <s v="纳指ETF"/>
    <s v="买"/>
    <n v="500"/>
    <n v="4.2610000000000001"/>
    <n v="-2135.5"/>
    <m/>
  </r>
  <r>
    <x v="18"/>
    <x v="12"/>
    <s v="医药ETF"/>
    <s v="买"/>
    <n v="100"/>
    <n v="2.391"/>
    <n v="-244.1"/>
    <m/>
  </r>
  <r>
    <x v="19"/>
    <x v="7"/>
    <s v="国开债"/>
    <s v="利息"/>
    <m/>
    <m/>
    <n v="174"/>
    <m/>
  </r>
  <r>
    <x v="20"/>
    <x v="9"/>
    <s v="225ETF"/>
    <s v="卖"/>
    <n v="19200"/>
    <n v="1.304"/>
    <n v="25021.78"/>
    <m/>
  </r>
  <r>
    <x v="20"/>
    <x v="1"/>
    <s v="标普500"/>
    <s v="卖"/>
    <n v="10700"/>
    <n v="2.306"/>
    <n v="24659.4"/>
    <m/>
  </r>
  <r>
    <x v="20"/>
    <x v="0"/>
    <s v="纳指ETF"/>
    <s v="卖"/>
    <n v="5700"/>
    <n v="4.28"/>
    <n v="24381.360000000001"/>
    <m/>
  </r>
  <r>
    <x v="20"/>
    <x v="11"/>
    <s v="法国ETF"/>
    <s v="卖"/>
    <n v="17900"/>
    <n v="1.137"/>
    <n v="20340.09"/>
    <m/>
  </r>
  <r>
    <x v="20"/>
    <x v="6"/>
    <s v="德国30"/>
    <s v="卖"/>
    <n v="17700"/>
    <n v="1.149"/>
    <n v="20325.099999999999"/>
    <m/>
  </r>
  <r>
    <x v="20"/>
    <x v="4"/>
    <s v="HS300ETF"/>
    <s v="卖"/>
    <n v="5400"/>
    <n v="2.5249999999999999"/>
    <n v="13626.82"/>
    <m/>
  </r>
  <r>
    <x v="20"/>
    <x v="2"/>
    <s v="恒生通"/>
    <s v="卖"/>
    <n v="800"/>
    <n v="2.6739999999999999"/>
    <n v="2134.1999999999998"/>
    <m/>
  </r>
  <r>
    <x v="20"/>
    <x v="2"/>
    <s v="恒生通"/>
    <s v="卖"/>
    <n v="4200"/>
    <n v="2.673"/>
    <n v="11219.86"/>
    <m/>
  </r>
  <r>
    <x v="20"/>
    <x v="10"/>
    <s v="创业板PA"/>
    <s v="卖"/>
    <n v="800"/>
    <n v="1.867"/>
    <n v="1488.6"/>
    <m/>
  </r>
  <r>
    <x v="20"/>
    <x v="12"/>
    <s v="医药ETF"/>
    <s v="卖"/>
    <n v="4000"/>
    <n v="2.4359999999999999"/>
    <n v="9738.15"/>
    <m/>
  </r>
  <r>
    <x v="20"/>
    <x v="10"/>
    <s v="创业板PA"/>
    <s v="卖"/>
    <n v="6100"/>
    <n v="1.8660000000000001"/>
    <n v="11375.77"/>
    <m/>
  </r>
  <r>
    <x v="20"/>
    <x v="11"/>
    <s v="法国ETF"/>
    <s v="买"/>
    <n v="100"/>
    <n v="1.1399999999999999"/>
    <n v="-114.02"/>
    <m/>
  </r>
  <r>
    <x v="21"/>
    <x v="0"/>
    <s v="纳指ETF"/>
    <s v="买"/>
    <n v="5800"/>
    <n v="4.2969999999999997"/>
    <n v="-24925.09"/>
    <m/>
  </r>
  <r>
    <x v="21"/>
    <x v="11"/>
    <s v="法国ETF"/>
    <s v="买"/>
    <n v="18100"/>
    <n v="1.137"/>
    <n v="-20581.759999999998"/>
    <m/>
  </r>
  <r>
    <x v="21"/>
    <x v="4"/>
    <s v="HS300ETF"/>
    <s v="买"/>
    <n v="5300"/>
    <n v="2.508"/>
    <n v="-13293.73"/>
    <m/>
  </r>
  <r>
    <x v="21"/>
    <x v="1"/>
    <s v="标普500"/>
    <s v="买"/>
    <n v="10700"/>
    <n v="2.323"/>
    <n v="-24858.59"/>
    <m/>
  </r>
  <r>
    <x v="21"/>
    <x v="6"/>
    <s v="德国30"/>
    <s v="买"/>
    <n v="18000"/>
    <n v="1.149"/>
    <n v="-20684.07"/>
    <m/>
  </r>
  <r>
    <x v="21"/>
    <x v="2"/>
    <s v="恒生通"/>
    <s v="买"/>
    <n v="4900"/>
    <n v="2.6930000000000001"/>
    <n v="-13197.02"/>
    <m/>
  </r>
  <r>
    <x v="21"/>
    <x v="9"/>
    <s v="225ETF"/>
    <s v="买"/>
    <n v="18800"/>
    <n v="1.3240000000000001"/>
    <n v="-24893.69"/>
    <m/>
  </r>
  <r>
    <x v="21"/>
    <x v="12"/>
    <s v="医药ETF"/>
    <s v="买"/>
    <n v="4100"/>
    <n v="2.4220000000000002"/>
    <n v="-9931.19"/>
    <m/>
  </r>
  <r>
    <x v="21"/>
    <x v="10"/>
    <s v="创业板PA"/>
    <s v="买"/>
    <n v="7000"/>
    <n v="1.889"/>
    <n v="-13224.32"/>
    <m/>
  </r>
  <r>
    <x v="22"/>
    <x v="0"/>
    <s v="纳指ETF"/>
    <s v="卖"/>
    <n v="100"/>
    <n v="4.4580000000000002"/>
    <n v="445.7"/>
    <m/>
  </r>
  <r>
    <x v="22"/>
    <x v="2"/>
    <s v="恒生通"/>
    <s v="卖"/>
    <n v="100"/>
    <n v="2.8279999999999998"/>
    <n v="282.7"/>
    <m/>
  </r>
  <r>
    <x v="22"/>
    <x v="11"/>
    <s v="法国ETF"/>
    <s v="买"/>
    <n v="700"/>
    <n v="1.113"/>
    <n v="-779.2"/>
    <m/>
  </r>
  <r>
    <x v="22"/>
    <x v="6"/>
    <s v="德国30"/>
    <s v="买"/>
    <n v="700"/>
    <n v="1.1259999999999999"/>
    <n v="-788.3"/>
    <m/>
  </r>
  <r>
    <x v="22"/>
    <x v="9"/>
    <s v="225ETF"/>
    <s v="买"/>
    <n v="200"/>
    <n v="1.323"/>
    <n v="-264.7"/>
    <m/>
  </r>
  <r>
    <x v="22"/>
    <x v="12"/>
    <s v="医药ETF"/>
    <s v="卖"/>
    <n v="100"/>
    <n v="2.581"/>
    <n v="258"/>
    <m/>
  </r>
  <r>
    <x v="22"/>
    <x v="10"/>
    <s v="创业板PA"/>
    <s v="卖"/>
    <n v="200"/>
    <n v="1.99"/>
    <n v="397.9"/>
    <m/>
  </r>
  <r>
    <x v="23"/>
    <x v="6"/>
    <s v="德国30"/>
    <s v="卖"/>
    <n v="200"/>
    <n v="1.117"/>
    <n v="223.3"/>
    <m/>
  </r>
  <r>
    <x v="23"/>
    <x v="11"/>
    <s v="法国ETF"/>
    <s v="卖"/>
    <n v="100"/>
    <n v="1.0920000000000001"/>
    <n v="109.1"/>
    <m/>
  </r>
  <r>
    <x v="23"/>
    <x v="1"/>
    <s v="标普500"/>
    <s v="买"/>
    <n v="100"/>
    <n v="2.3029999999999999"/>
    <n v="-230.4"/>
    <m/>
  </r>
  <r>
    <x v="23"/>
    <x v="9"/>
    <s v="225ETF"/>
    <s v="买"/>
    <n v="100"/>
    <n v="1.2889999999999999"/>
    <n v="-129"/>
    <m/>
  </r>
  <r>
    <x v="24"/>
    <x v="0"/>
    <s v="纳指ETF"/>
    <s v="卖"/>
    <n v="100"/>
    <n v="4.4569999999999999"/>
    <n v="445.6"/>
    <m/>
  </r>
  <r>
    <x v="24"/>
    <x v="9"/>
    <s v="225ETF"/>
    <s v="买"/>
    <n v="100"/>
    <n v="1.294"/>
    <n v="-129.5"/>
    <m/>
  </r>
  <r>
    <x v="24"/>
    <x v="11"/>
    <s v="法国ETF"/>
    <s v="买"/>
    <n v="100"/>
    <n v="1.101"/>
    <n v="-110.2"/>
    <m/>
  </r>
  <r>
    <x v="25"/>
    <x v="1"/>
    <s v="标普500"/>
    <s v="卖"/>
    <n v="100"/>
    <n v="2.375"/>
    <n v="237.4"/>
    <m/>
  </r>
  <r>
    <x v="25"/>
    <x v="9"/>
    <s v="225ETF"/>
    <s v="买"/>
    <n v="100"/>
    <n v="1.3260000000000001"/>
    <n v="-132.69999999999999"/>
    <m/>
  </r>
  <r>
    <x v="26"/>
    <x v="9"/>
    <s v="225ETF"/>
    <s v="买"/>
    <n v="300"/>
    <n v="1.3380000000000001"/>
    <n v="-401.5"/>
    <m/>
  </r>
  <r>
    <x v="26"/>
    <x v="1"/>
    <s v="标普500"/>
    <s v="买"/>
    <n v="300"/>
    <n v="2.379"/>
    <n v="-713.8"/>
    <m/>
  </r>
  <r>
    <x v="26"/>
    <x v="6"/>
    <s v="德国30"/>
    <s v="买"/>
    <n v="700"/>
    <n v="1.137"/>
    <n v="-796"/>
    <m/>
  </r>
  <r>
    <x v="26"/>
    <x v="0"/>
    <s v="纳指ETF"/>
    <s v="买"/>
    <n v="200"/>
    <n v="4.54"/>
    <n v="-908.1"/>
    <m/>
  </r>
  <r>
    <x v="26"/>
    <x v="2"/>
    <s v="恒生通"/>
    <s v="买"/>
    <n v="200"/>
    <n v="2.7759999999999998"/>
    <n v="-555.29999999999995"/>
    <m/>
  </r>
  <r>
    <x v="26"/>
    <x v="4"/>
    <s v="HS300ETF"/>
    <s v="买"/>
    <n v="200"/>
    <n v="2.5409999999999999"/>
    <n v="-508.3"/>
    <m/>
  </r>
  <r>
    <x v="26"/>
    <x v="11"/>
    <s v="法国ETF"/>
    <s v="买"/>
    <n v="600"/>
    <n v="1.121"/>
    <n v="-672.7"/>
    <m/>
  </r>
  <r>
    <x v="26"/>
    <x v="10"/>
    <s v="创业板PA"/>
    <s v="买"/>
    <n v="200"/>
    <n v="1.986"/>
    <n v="-397.3"/>
    <m/>
  </r>
  <r>
    <x v="27"/>
    <x v="4"/>
    <s v="HS300ETF"/>
    <s v="卖"/>
    <n v="100"/>
    <n v="2.6779999999999999"/>
    <n v="267.7"/>
    <m/>
  </r>
  <r>
    <x v="27"/>
    <x v="1"/>
    <s v="标普500"/>
    <s v="买"/>
    <n v="100"/>
    <n v="2.383"/>
    <n v="-238.4"/>
    <m/>
  </r>
  <r>
    <x v="27"/>
    <x v="6"/>
    <s v="德国30"/>
    <s v="买"/>
    <n v="100"/>
    <n v="1.135"/>
    <n v="-113.6"/>
    <m/>
  </r>
  <r>
    <x v="27"/>
    <x v="12"/>
    <s v="医药ETF"/>
    <s v="卖"/>
    <n v="100"/>
    <n v="2.7240000000000002"/>
    <n v="272.3"/>
    <m/>
  </r>
  <r>
    <x v="28"/>
    <x v="9"/>
    <s v="225ETF"/>
    <s v="卖"/>
    <n v="200"/>
    <n v="1.359"/>
    <n v="271.7"/>
    <m/>
  </r>
  <r>
    <x v="28"/>
    <x v="2"/>
    <s v="恒生通"/>
    <s v="卖"/>
    <n v="100"/>
    <n v="2.8679999999999999"/>
    <n v="286.7"/>
    <m/>
  </r>
  <r>
    <x v="28"/>
    <x v="6"/>
    <s v="德国30"/>
    <s v="买"/>
    <n v="100"/>
    <n v="1.129"/>
    <n v="-113"/>
    <m/>
  </r>
  <r>
    <x v="28"/>
    <x v="12"/>
    <s v="医药ETF"/>
    <s v="买"/>
    <n v="100"/>
    <n v="2.6549999999999998"/>
    <n v="-265.60000000000002"/>
    <m/>
  </r>
  <r>
    <x v="29"/>
    <x v="7"/>
    <s v="国开债"/>
    <s v="买"/>
    <m/>
    <m/>
    <n v="-6916.64"/>
    <m/>
  </r>
  <r>
    <x v="29"/>
    <x v="7"/>
    <s v="国开债"/>
    <s v="买"/>
    <m/>
    <m/>
    <n v="-7670.15"/>
    <m/>
  </r>
  <r>
    <x v="30"/>
    <x v="11"/>
    <s v="法国ETF"/>
    <s v="卖"/>
    <n v="300"/>
    <n v="1.1359999999999999"/>
    <n v="340.7"/>
    <n v="20210223"/>
  </r>
  <r>
    <x v="30"/>
    <x v="9"/>
    <s v="225ETF"/>
    <s v="卖"/>
    <n v="100"/>
    <n v="1.363"/>
    <n v="136.19999999999999"/>
    <n v="20210223"/>
  </r>
  <r>
    <x v="30"/>
    <x v="6"/>
    <s v="德国30"/>
    <s v="卖"/>
    <n v="100"/>
    <n v="1.133"/>
    <n v="113.2"/>
    <n v="20210223"/>
  </r>
  <r>
    <x v="30"/>
    <x v="12"/>
    <s v="医药ETF"/>
    <s v="买"/>
    <n v="100"/>
    <n v="2.5390000000000001"/>
    <n v="-254"/>
    <n v="20210223"/>
  </r>
  <r>
    <x v="30"/>
    <x v="10"/>
    <s v="创业板PA"/>
    <s v="买"/>
    <n v="200"/>
    <n v="1.925"/>
    <n v="-385.1"/>
    <n v="20210223"/>
  </r>
  <r>
    <x v="31"/>
    <x v="9"/>
    <s v="225ETF"/>
    <s v="卖"/>
    <n v="100"/>
    <n v="1.3580000000000001"/>
    <n v="135.69999999999999"/>
    <n v="20210224"/>
  </r>
  <r>
    <x v="31"/>
    <x v="11"/>
    <s v="法国ETF"/>
    <s v="卖"/>
    <n v="100"/>
    <n v="1.147"/>
    <n v="114.6"/>
    <n v="20210224"/>
  </r>
  <r>
    <x v="31"/>
    <x v="6"/>
    <s v="德国30"/>
    <s v="卖"/>
    <n v="100"/>
    <n v="1.133"/>
    <n v="113.2"/>
    <n v="20210224"/>
  </r>
  <r>
    <x v="31"/>
    <x v="0"/>
    <s v="纳指ETF"/>
    <s v="买"/>
    <n v="100"/>
    <n v="4.3979999999999997"/>
    <n v="-439.9"/>
    <n v="20210224"/>
  </r>
  <r>
    <x v="31"/>
    <x v="4"/>
    <s v="HS300ETF"/>
    <s v="买"/>
    <n v="100"/>
    <n v="2.5430000000000001"/>
    <n v="-254.4"/>
    <n v="20210224"/>
  </r>
  <r>
    <x v="31"/>
    <x v="10"/>
    <s v="创业板PA"/>
    <s v="买"/>
    <n v="100"/>
    <n v="1.89"/>
    <n v="-189.1"/>
    <n v="20210224"/>
  </r>
  <r>
    <x v="32"/>
    <x v="11"/>
    <s v="法国ETF"/>
    <s v="卖"/>
    <n v="300"/>
    <n v="1.157"/>
    <n v="347"/>
    <n v="20210225"/>
  </r>
  <r>
    <x v="32"/>
    <x v="1"/>
    <s v="标普500"/>
    <s v="卖"/>
    <n v="100"/>
    <n v="2.3849999999999998"/>
    <n v="238.4"/>
    <n v="20210225"/>
  </r>
  <r>
    <x v="32"/>
    <x v="6"/>
    <s v="德国30"/>
    <s v="卖"/>
    <n v="100"/>
    <n v="1.143"/>
    <n v="114.2"/>
    <n v="20210225"/>
  </r>
  <r>
    <x v="32"/>
    <x v="2"/>
    <s v="恒生通"/>
    <s v="买"/>
    <n v="1200"/>
    <n v="2.827"/>
    <n v="-3392.74"/>
    <n v="20210225"/>
  </r>
  <r>
    <x v="32"/>
    <x v="4"/>
    <s v="HS300ETF"/>
    <s v="买"/>
    <n v="1400"/>
    <n v="2.4860000000000002"/>
    <n v="-3480.75"/>
    <n v="20210225"/>
  </r>
  <r>
    <x v="32"/>
    <x v="12"/>
    <s v="医药ETF"/>
    <s v="卖"/>
    <n v="4100"/>
    <n v="2.4489999999999998"/>
    <n v="10039.9"/>
    <n v="20210225"/>
  </r>
  <r>
    <x v="32"/>
    <x v="10"/>
    <s v="创业板PA"/>
    <s v="买"/>
    <n v="1900"/>
    <n v="1.8620000000000001"/>
    <n v="-3538.15"/>
    <n v="20210225"/>
  </r>
  <r>
    <x v="33"/>
    <x v="6"/>
    <s v="德国30"/>
    <s v="卖"/>
    <n v="100"/>
    <n v="1.1279999999999999"/>
    <n v="112.7"/>
    <n v="20210226"/>
  </r>
  <r>
    <x v="33"/>
    <x v="3"/>
    <s v="创业ＥＴＦ"/>
    <s v="买"/>
    <n v="9700"/>
    <n v="1.6910000000000001"/>
    <n v="-16404.34"/>
    <n v="20210226"/>
  </r>
  <r>
    <x v="33"/>
    <x v="10"/>
    <s v="创业板PA"/>
    <s v="买"/>
    <n v="200"/>
    <n v="1.835"/>
    <n v="-367.1"/>
    <n v="20210226"/>
  </r>
  <r>
    <x v="33"/>
    <x v="10"/>
    <s v="创业板PA"/>
    <s v="卖"/>
    <n v="100"/>
    <n v="1.8"/>
    <n v="179.9"/>
    <n v="20210226"/>
  </r>
  <r>
    <x v="33"/>
    <x v="10"/>
    <s v="创业板PA"/>
    <s v="卖"/>
    <n v="9100"/>
    <n v="1.7689999999999999"/>
    <n v="16096.29"/>
    <n v="20210226"/>
  </r>
  <r>
    <x v="34"/>
    <x v="10"/>
    <s v="创业板PA"/>
    <s v="卖"/>
    <n v="200"/>
    <n v="1.7729999999999999"/>
    <n v="354.5"/>
    <n v="20210301"/>
  </r>
  <r>
    <x v="34"/>
    <x v="3"/>
    <s v="创业ＥＴＦ"/>
    <s v="买"/>
    <n v="200"/>
    <n v="1.7150000000000001"/>
    <n v="-343.1"/>
    <n v="20210301"/>
  </r>
  <r>
    <x v="35"/>
    <x v="11"/>
    <s v="法国ETF"/>
    <s v="卖"/>
    <n v="100"/>
    <n v="1.1479999999999999"/>
    <n v="114.7"/>
    <n v="20210302"/>
  </r>
  <r>
    <x v="35"/>
    <x v="9"/>
    <s v="225ETF"/>
    <s v="买"/>
    <n v="100"/>
    <n v="1.321"/>
    <n v="-132.19999999999999"/>
    <n v="20210302"/>
  </r>
  <r>
    <x v="36"/>
    <x v="6"/>
    <s v="德国30"/>
    <s v="卖"/>
    <n v="2500"/>
    <n v="1.1279999999999999"/>
    <n v="2819.72"/>
    <n v="20210308"/>
  </r>
  <r>
    <x v="36"/>
    <x v="9"/>
    <s v="225ETF"/>
    <s v="卖"/>
    <n v="4600"/>
    <n v="1.2709999999999999"/>
    <n v="5846.02"/>
    <n v="20210308"/>
  </r>
  <r>
    <x v="36"/>
    <x v="11"/>
    <s v="法国ETF"/>
    <s v="卖"/>
    <n v="2400"/>
    <n v="1.141"/>
    <n v="2738.13"/>
    <n v="20210308"/>
  </r>
  <r>
    <x v="36"/>
    <x v="2"/>
    <s v="恒生通"/>
    <s v="买"/>
    <n v="700"/>
    <n v="2.726"/>
    <n v="-1908.39"/>
    <n v="20210308"/>
  </r>
  <r>
    <x v="36"/>
    <x v="0"/>
    <s v="纳指ETF"/>
    <s v="买"/>
    <n v="700"/>
    <n v="4.1959999999999997"/>
    <n v="-2937.49"/>
    <n v="20210308"/>
  </r>
  <r>
    <x v="36"/>
    <x v="1"/>
    <s v="标普500"/>
    <s v="买"/>
    <n v="900"/>
    <n v="2.343"/>
    <n v="-2108.91"/>
    <n v="20210308"/>
  </r>
  <r>
    <x v="36"/>
    <x v="4"/>
    <s v="HS300ETF"/>
    <s v="买"/>
    <n v="1000"/>
    <n v="2.335"/>
    <n v="-2335.23"/>
    <n v="20210308"/>
  </r>
  <r>
    <x v="36"/>
    <x v="3"/>
    <s v="创业ＥＴＦ"/>
    <s v="买"/>
    <n v="1600"/>
    <n v="1.61"/>
    <n v="-2576.2600000000002"/>
    <n v="20210308"/>
  </r>
  <r>
    <x v="36"/>
    <x v="7"/>
    <s v="国开债"/>
    <s v="卖"/>
    <m/>
    <m/>
    <n v="892.92"/>
    <m/>
  </r>
  <r>
    <x v="37"/>
    <x v="6"/>
    <s v="德国30"/>
    <s v="卖"/>
    <n v="400"/>
    <n v="1.1619999999999999"/>
    <n v="464.7"/>
    <n v="20210309"/>
  </r>
  <r>
    <x v="37"/>
    <x v="11"/>
    <s v="法国ETF"/>
    <s v="卖"/>
    <n v="300"/>
    <n v="1.1639999999999999"/>
    <n v="349.1"/>
    <n v="20210309"/>
  </r>
  <r>
    <x v="37"/>
    <x v="1"/>
    <s v="标普500"/>
    <s v="卖"/>
    <n v="100"/>
    <n v="2.3679999999999999"/>
    <n v="236.7"/>
    <n v="20210309"/>
  </r>
  <r>
    <x v="37"/>
    <x v="9"/>
    <s v="225ETF"/>
    <s v="卖"/>
    <n v="100"/>
    <n v="1.2829999999999999"/>
    <n v="128.19999999999999"/>
    <n v="20210309"/>
  </r>
  <r>
    <x v="37"/>
    <x v="4"/>
    <s v="HS300ETF"/>
    <s v="买"/>
    <n v="200"/>
    <n v="2.2909999999999999"/>
    <n v="-458.3"/>
    <n v="20210309"/>
  </r>
  <r>
    <x v="37"/>
    <x v="0"/>
    <s v="纳指ETF"/>
    <s v="买"/>
    <n v="100"/>
    <n v="4.165"/>
    <n v="-416.6"/>
    <n v="20210309"/>
  </r>
  <r>
    <x v="37"/>
    <x v="3"/>
    <s v="创业ＥＴＦ"/>
    <s v="买"/>
    <n v="400"/>
    <n v="1.5640000000000001"/>
    <n v="-625.70000000000005"/>
    <n v="20210309"/>
  </r>
  <r>
    <x v="38"/>
    <x v="11"/>
    <s v="法国ETF"/>
    <s v="卖"/>
    <n v="16000"/>
    <n v="1.181"/>
    <n v="18894.11"/>
    <n v="20210310"/>
  </r>
  <r>
    <x v="38"/>
    <x v="9"/>
    <s v="225ETF"/>
    <s v="卖"/>
    <n v="14600"/>
    <n v="1.2869999999999999"/>
    <n v="18788.32"/>
    <n v="20210310"/>
  </r>
  <r>
    <x v="38"/>
    <x v="5"/>
    <s v="日经225"/>
    <s v="买"/>
    <n v="22700"/>
    <n v="1.2370000000000001"/>
    <n v="-28082.71"/>
    <n v="20210310"/>
  </r>
  <r>
    <x v="38"/>
    <x v="6"/>
    <s v="德国30"/>
    <s v="买"/>
    <n v="7900"/>
    <n v="1.175"/>
    <n v="-9283.43"/>
    <n v="20210310"/>
  </r>
  <r>
    <x v="38"/>
    <x v="4"/>
    <s v="HS300ETF"/>
    <s v="买"/>
    <n v="100"/>
    <n v="2.2749999999999999"/>
    <n v="-227.6"/>
    <n v="20210310"/>
  </r>
  <r>
    <x v="38"/>
    <x v="3"/>
    <s v="创业ＥＴＦ"/>
    <s v="买"/>
    <n v="100"/>
    <n v="1.5589999999999999"/>
    <n v="-156"/>
    <n v="20210310"/>
  </r>
  <r>
    <x v="39"/>
    <x v="6"/>
    <s v="德国30"/>
    <s v="买"/>
    <n v="100"/>
    <n v="1.177"/>
    <n v="-117.8"/>
    <n v="20210312"/>
  </r>
  <r>
    <x v="39"/>
    <x v="0"/>
    <s v="纳指ETF"/>
    <s v="卖"/>
    <n v="100"/>
    <n v="4.3310000000000004"/>
    <n v="433"/>
    <n v="20210312"/>
  </r>
  <r>
    <x v="39"/>
    <x v="7"/>
    <s v="国开债"/>
    <s v="买"/>
    <m/>
    <m/>
    <n v="205.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547AAA-A01D-4B03-A5A8-F04C99253A39}" name="数据透视表1" cacheId="12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compact="0" compactData="0" multipleFieldFilters="0">
  <location ref="A11:O55" firstHeaderRow="1" firstDataRow="4" firstDataCol="1"/>
  <pivotFields count="10">
    <pivotField axis="axisRow" compact="0" numFmtId="180" outline="0" showAll="0" sortType="ascending" defaultSubtotal="0">
      <items count="42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40"/>
        <item x="36"/>
        <item x="37"/>
        <item x="38"/>
        <item m="1" x="41"/>
        <item x="39"/>
        <item x="0"/>
      </items>
    </pivotField>
    <pivotField axis="axisCol" compact="0" outline="0" showAll="0" defaultSubtotal="0">
      <items count="25">
        <item sd="0" m="1" x="21"/>
        <item sd="0" m="1" x="16"/>
        <item sd="0" m="1" x="20"/>
        <item sd="0" m="1" x="18"/>
        <item sd="0" m="1" x="24"/>
        <item sd="0" m="1" x="19"/>
        <item sd="0" m="1" x="17"/>
        <item sd="0" m="1" x="13"/>
        <item sd="0" m="1" x="15"/>
        <item sd="0" m="1" x="22"/>
        <item sd="0" m="1" x="23"/>
        <item sd="0" m="1" x="14"/>
        <item sd="0" x="7"/>
        <item sd="0" x="0"/>
        <item sd="0" x="1"/>
        <item sd="0" x="4"/>
        <item sd="0" x="2"/>
        <item sd="0" x="3"/>
        <item sd="0" x="10"/>
        <item sd="0" x="8"/>
        <item sd="0" x="12"/>
        <item sd="0" x="5"/>
        <item sd="0" x="6"/>
        <item sd="0" x="11"/>
        <item sd="0"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178" outline="0" showAll="0" defaultSubtotal="0"/>
    <pivotField compact="0" outline="0" showAll="0" defaultSubtotal="0"/>
    <pivotField name="指数分类" axis="axisCol" compact="0" outline="0" subtotalTop="0" showAll="0" defaultSubtotal="0">
      <items count="23">
        <item x="8"/>
        <item x="3"/>
        <item x="7"/>
        <item x="5"/>
        <item x="11"/>
        <item x="6"/>
        <item x="4"/>
        <item x="0"/>
        <item x="2"/>
        <item x="9"/>
        <item x="10"/>
        <item x="1"/>
        <item n="国债" x="12"/>
        <item n="纳指ETF" x="19"/>
        <item n="标普500" x="20"/>
        <item n="沪深300" x="13"/>
        <item n="恒生通" x="14"/>
        <item n="创业板" x="18"/>
        <item n="上证综指" x="15"/>
        <item n="医药ETF" x="16"/>
        <item n="日经225" x="22"/>
        <item n="德国30" x="21"/>
        <item n="法国ETF" x="17"/>
      </items>
    </pivotField>
    <pivotField name="地区分类" axis="axisCol" compact="0" outline="0" subtotalTop="0" showAll="0" defaultSubtotal="0">
      <items count="16">
        <item x="8"/>
        <item x="3"/>
        <item x="7"/>
        <item x="5"/>
        <item x="11"/>
        <item x="6"/>
        <item x="4"/>
        <item x="0"/>
        <item x="2"/>
        <item x="9"/>
        <item x="10"/>
        <item x="1"/>
        <item n="国债" x="12"/>
        <item n="美国指数" x="13"/>
        <item n="中国指数" x="14"/>
        <item n="日欧指数" x="15"/>
      </items>
    </pivotField>
  </pivotFields>
  <rowFields count="1">
    <field x="0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6"/>
    </i>
    <i>
      <x v="37"/>
    </i>
    <i>
      <x v="38"/>
    </i>
    <i>
      <x v="40"/>
    </i>
    <i>
      <x v="41"/>
    </i>
    <i t="grand">
      <x/>
    </i>
  </rowItems>
  <colFields count="3">
    <field x="9"/>
    <field x="8"/>
    <field x="1"/>
  </colFields>
  <colItems count="14">
    <i>
      <x v="12"/>
      <x v="12"/>
      <x v="12"/>
    </i>
    <i>
      <x v="13"/>
      <x v="13"/>
      <x v="13"/>
    </i>
    <i r="1">
      <x v="14"/>
      <x v="14"/>
    </i>
    <i>
      <x v="14"/>
      <x v="15"/>
      <x v="15"/>
    </i>
    <i r="1">
      <x v="16"/>
      <x v="16"/>
    </i>
    <i r="1">
      <x v="17"/>
      <x v="17"/>
    </i>
    <i r="2">
      <x v="18"/>
    </i>
    <i r="1">
      <x v="18"/>
      <x v="19"/>
    </i>
    <i r="1">
      <x v="19"/>
      <x v="20"/>
    </i>
    <i>
      <x v="15"/>
      <x v="20"/>
      <x v="21"/>
    </i>
    <i r="2">
      <x v="24"/>
    </i>
    <i r="1">
      <x v="21"/>
      <x v="22"/>
    </i>
    <i r="1">
      <x v="22"/>
      <x v="23"/>
    </i>
    <i t="grand">
      <x/>
    </i>
  </colItems>
  <dataFields count="1">
    <dataField name="求和项:发生金额" fld="6" baseField="0" baseItem="0" numFmtId="176"/>
  </dataFields>
  <formats count="6">
    <format dxfId="55">
      <pivotArea outline="0" collapsedLevelsAreSubtotals="1" fieldPosition="0"/>
    </format>
    <format dxfId="54">
      <pivotArea field="1" type="button" dataOnly="0" labelOnly="1" outline="0" axis="axisCol" fieldPosition="2"/>
    </format>
    <format dxfId="53">
      <pivotArea type="topRight" dataOnly="0" labelOnly="1" outline="0" fieldPosition="0"/>
    </format>
    <format dxfId="52">
      <pivotArea dataOnly="0" labelOnly="1" grandCol="1" outline="0" fieldPosition="0"/>
    </format>
    <format dxfId="51">
      <pivotArea dataOnly="0" labelOnly="1" outline="0" fieldPosition="0">
        <references count="1">
          <reference field="1" count="0"/>
        </references>
      </pivotArea>
    </format>
    <format dxfId="5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M10" totalsRowCount="1" headerRowDxfId="84" dataDxfId="83" totalsRowDxfId="82">
  <autoFilter ref="A1:M9" xr:uid="{00000000-0009-0000-0100-000001000000}"/>
  <sortState xmlns:xlrd2="http://schemas.microsoft.com/office/spreadsheetml/2017/richdata2" ref="A2:M9">
    <sortCondition descending="1" ref="I1:I9"/>
  </sortState>
  <tableColumns count="13">
    <tableColumn id="1" xr3:uid="{00000000-0010-0000-0000-000001000000}" name="资产名称" totalsRowLabel="汇总" dataDxfId="81" totalsRowDxfId="80"/>
    <tableColumn id="2" xr3:uid="{00000000-0010-0000-0000-000002000000}" name="代码" dataDxfId="79" totalsRowDxfId="78"/>
    <tableColumn id="4" xr3:uid="{E6DCBEFC-748D-4559-AE48-EE50D57DFF65}" name="大类" dataDxfId="77" totalsRowDxfId="76"/>
    <tableColumn id="8" xr3:uid="{00000000-0010-0000-0000-000008000000}" name="小类" dataDxfId="75" totalsRowDxfId="74"/>
    <tableColumn id="13" xr3:uid="{00000000-0010-0000-0000-00000D000000}" name="最新价" dataDxfId="73" totalsRowDxfId="72">
      <calculatedColumnFormula>VLOOKUP(表1[[#This Row],[代码]],#REF!,3,0)</calculatedColumnFormula>
    </tableColumn>
    <tableColumn id="6" xr3:uid="{CC76C599-5175-481E-B34F-437D2139F189}" name="成交额(万元)" dataDxfId="71" totalsRowDxfId="70" dataCellStyle="千位分隔">
      <calculatedColumnFormula>VLOOKUP(表1[[#This Row],[代码]],#REF!,4,0)</calculatedColumnFormula>
    </tableColumn>
    <tableColumn id="12" xr3:uid="{00000000-0010-0000-0000-00000C000000}" name="持仓" dataDxfId="69" totalsRowDxfId="68"/>
    <tableColumn id="5" xr3:uid="{00000000-0010-0000-0000-000005000000}" name="目标占比" totalsRowFunction="sum" dataDxfId="67" totalsRowDxfId="66"/>
    <tableColumn id="3" xr3:uid="{00000000-0010-0000-0000-000003000000}" name="最新市值" totalsRowFunction="sum" dataDxfId="65" totalsRowDxfId="64">
      <calculatedColumnFormula>表1[[#This Row],[最新价]]*表1[[#This Row],[持仓]]</calculatedColumnFormula>
    </tableColumn>
    <tableColumn id="9" xr3:uid="{00000000-0010-0000-0000-000009000000}" name="目标市值" dataDxfId="63" totalsRowDxfId="62">
      <calculatedColumnFormula>表1[[#Totals],[最新市值]]*表1[[#This Row],[目标占比]]</calculatedColumnFormula>
    </tableColumn>
    <tableColumn id="10" xr3:uid="{F23C103B-EB23-486E-A9BC-CBCBC898E60C}" name="平衡金额" totalsRowFunction="sum" dataDxfId="61" totalsRowDxfId="60" dataCellStyle="百分比">
      <calculatedColumnFormula>表1[[#This Row],[目标市值]]-表1[[#This Row],[最新市值]]</calculatedColumnFormula>
    </tableColumn>
    <tableColumn id="14" xr3:uid="{6CBF410F-66CE-4742-95F7-CB0CCFE575C6}" name="平衡手数" dataDxfId="59" totalsRowDxfId="58" dataCellStyle="百分比">
      <calculatedColumnFormula>ROUNDDOWN(表1[[#This Row],[平衡金额]]/表1[[#This Row],[最新价]]/100,0)</calculatedColumnFormula>
    </tableColumn>
    <tableColumn id="16" xr3:uid="{A8B45C82-F891-42FB-94DD-D67F12300DEE}" name="手数对应金额" totalsRowFunction="sum" dataDxfId="57" totalsRowDxfId="56" dataCellStyle="百分比">
      <calculatedColumnFormula>-表1[[#This Row],[平衡手数]]*表1[[#This Row],[最新价]]*100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1:H195" headerRowDxfId="49" dataDxfId="48">
  <autoFilter ref="A1:H195" xr:uid="{00000000-0009-0000-0100-000002000000}"/>
  <tableColumns count="8">
    <tableColumn id="1" xr3:uid="{00000000-0010-0000-0100-000001000000}" name="成交日期" totalsRowLabel="汇总" dataDxfId="47" totalsRowDxfId="46"/>
    <tableColumn id="3" xr3:uid="{00000000-0010-0000-0100-000003000000}" name="证券代码" dataDxfId="45" totalsRowDxfId="44"/>
    <tableColumn id="4" xr3:uid="{00000000-0010-0000-0100-000004000000}" name="证券名称" dataDxfId="43" totalsRowDxfId="42"/>
    <tableColumn id="5" xr3:uid="{00000000-0010-0000-0100-000005000000}" name="操作" dataDxfId="41" totalsRowDxfId="40"/>
    <tableColumn id="6" xr3:uid="{00000000-0010-0000-0100-000006000000}" name="成交数量" dataDxfId="39" totalsRowDxfId="38"/>
    <tableColumn id="7" xr3:uid="{00000000-0010-0000-0100-000007000000}" name="成交均价" dataDxfId="37" totalsRowDxfId="36"/>
    <tableColumn id="8" xr3:uid="{00000000-0010-0000-0100-000008000000}" name="发生金额" totalsRowFunction="sum" dataDxfId="35" totalsRowDxfId="34"/>
    <tableColumn id="2" xr3:uid="{9F16378D-0613-4F0F-8BD4-AB781110D685}" name="交割单原始日期" dataDxfId="3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AEE754-9E82-431A-9073-011A2A1BBCBC}" name="表6" displayName="表6" ref="A1:Q386" totalsRowShown="0" headerRowDxfId="32" dataDxfId="31">
  <autoFilter ref="A1:Q386" xr:uid="{DEE4C3CE-31C7-47A1-B9E5-285EE095C052}"/>
  <tableColumns count="17">
    <tableColumn id="1" xr3:uid="{D38F5B55-D22D-4B49-AB3A-797527A45119}" name="名称" dataDxfId="30"/>
    <tableColumn id="2" xr3:uid="{816CB3A1-643E-4396-AB0E-20ED7C859842}" name="代码" dataDxfId="29"/>
    <tableColumn id="3" xr3:uid="{CF18BFAF-2258-450B-8A06-F7AC3956DDA4}" name="最新价" dataDxfId="28"/>
    <tableColumn id="4" xr3:uid="{506B5B39-8D98-4C37-A1D6-172E344EF97F}" name="日涨幅" dataDxfId="27"/>
    <tableColumn id="5" xr3:uid="{BFC9E244-85B5-4386-A9B1-C1C4CFFAD0B8}" name="溢价率" dataDxfId="26"/>
    <tableColumn id="6" xr3:uid="{7E55D68D-9682-4E5C-95C7-933EAFAA198C}" name="日均成交（万）" dataDxfId="25"/>
    <tableColumn id="7" xr3:uid="{36B50107-21B5-4848-9C05-46F2D65B799A}" name="近一月" dataDxfId="24" dataCellStyle="百分比"/>
    <tableColumn id="8" xr3:uid="{957652C7-B2CD-43DE-B2DA-7D2566E66B94}" name="年初至今" dataDxfId="23" dataCellStyle="百分比"/>
    <tableColumn id="9" xr3:uid="{317A88FF-638C-4E35-8F3F-D8709360E7E4}" name="近一年" dataDxfId="22" dataCellStyle="百分比"/>
    <tableColumn id="10" xr3:uid="{4BF7BCF9-5B1F-414D-8640-5C6FE17172E2}" name="近三年" dataDxfId="21" dataCellStyle="百分比"/>
    <tableColumn id="11" xr3:uid="{7B6521B4-7C25-4F50-BD5E-0D89FF4024A3}" name="近五年" dataDxfId="20" dataCellStyle="百分比"/>
    <tableColumn id="12" xr3:uid="{752C81D9-D276-49E1-8491-59DD25956089}" name="规模（亿）" dataDxfId="19"/>
    <tableColumn id="13" xr3:uid="{57E26989-88DF-4590-A1B0-9C31639BF8D7}" name="运作费率" dataDxfId="18"/>
    <tableColumn id="14" xr3:uid="{F49E084C-41B7-40C3-8E37-2E30BB82D797}" name="跟踪指数" dataDxfId="17"/>
    <tableColumn id="15" xr3:uid="{EF02BF8E-3C1C-4A86-8168-A3B24E97B3AA}" name="上市日期" dataDxfId="16"/>
    <tableColumn id="16" xr3:uid="{55854ACF-D890-4567-8370-988E1FFEEB79}" name="基金公司" dataDxfId="15"/>
    <tableColumn id="17" xr3:uid="{1F7DA768-39C1-45D7-8198-E10A5FDF4F2B}" name="分类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R31"/>
  <sheetViews>
    <sheetView tabSelected="1" workbookViewId="0">
      <selection activeCell="A30" sqref="A30"/>
    </sheetView>
  </sheetViews>
  <sheetFormatPr defaultColWidth="8.875" defaultRowHeight="14.25" outlineLevelCol="1" x14ac:dyDescent="0.2"/>
  <cols>
    <col min="1" max="1" width="23.75" style="1" bestFit="1" customWidth="1"/>
    <col min="2" max="2" width="7.5" style="13" bestFit="1" customWidth="1"/>
    <col min="3" max="3" width="7.5" style="13" hidden="1" customWidth="1" outlineLevel="1"/>
    <col min="4" max="4" width="9" style="13" hidden="1" customWidth="1" outlineLevel="1"/>
    <col min="5" max="5" width="10.125" bestFit="1" customWidth="1" collapsed="1"/>
    <col min="6" max="6" width="15.5" style="4" bestFit="1" customWidth="1"/>
    <col min="7" max="7" width="8.25" style="17" bestFit="1" customWidth="1"/>
    <col min="8" max="8" width="11" style="15" hidden="1" customWidth="1" outlineLevel="1"/>
    <col min="9" max="9" width="12" style="15" bestFit="1" customWidth="1" collapsed="1"/>
    <col min="10" max="11" width="12" style="14" hidden="1" customWidth="1" outlineLevel="1"/>
    <col min="12" max="12" width="13" style="26" bestFit="1" customWidth="1" collapsed="1"/>
    <col min="13" max="13" width="17" style="26" bestFit="1" customWidth="1"/>
    <col min="14" max="14" width="3.5" style="15" customWidth="1"/>
    <col min="15" max="15" width="11" style="1" bestFit="1" customWidth="1"/>
    <col min="16" max="16" width="7.25" style="1" bestFit="1" customWidth="1"/>
    <col min="17" max="17" width="10" style="1" bestFit="1" customWidth="1"/>
    <col min="18" max="18" width="9" style="1" bestFit="1" customWidth="1"/>
    <col min="19" max="16384" width="8.875" style="1"/>
  </cols>
  <sheetData>
    <row r="1" spans="1:18" x14ac:dyDescent="0.2">
      <c r="A1" s="49" t="s">
        <v>50</v>
      </c>
      <c r="B1" s="50" t="s">
        <v>7</v>
      </c>
      <c r="C1" s="50" t="s">
        <v>60</v>
      </c>
      <c r="D1" s="50" t="s">
        <v>61</v>
      </c>
      <c r="E1" s="51" t="s">
        <v>111</v>
      </c>
      <c r="F1" s="52" t="s">
        <v>844</v>
      </c>
      <c r="G1" s="52" t="s">
        <v>9</v>
      </c>
      <c r="H1" s="53" t="s">
        <v>6</v>
      </c>
      <c r="I1" s="54" t="s">
        <v>5</v>
      </c>
      <c r="J1" s="54" t="s">
        <v>51</v>
      </c>
      <c r="K1" s="54" t="s">
        <v>52</v>
      </c>
      <c r="L1" s="55" t="s">
        <v>53</v>
      </c>
      <c r="M1" s="55" t="s">
        <v>41</v>
      </c>
      <c r="N1" s="1"/>
    </row>
    <row r="2" spans="1:18" x14ac:dyDescent="0.2">
      <c r="A2" s="1" t="s">
        <v>112</v>
      </c>
      <c r="B2" s="13" t="s">
        <v>4</v>
      </c>
      <c r="C2" s="13" t="s">
        <v>62</v>
      </c>
      <c r="D2" s="13" t="s">
        <v>65</v>
      </c>
      <c r="E2" s="17">
        <f ca="1">getStockPrice(IF(LEFT(表1[[#This Row],[代码]],2)="51","sh"&amp;表1[[#This Row],[代码]],"sz"&amp;表1[[#This Row],[代码]]))</f>
        <v>1.262</v>
      </c>
      <c r="F2" s="47">
        <f ca="1">getTradeVolume(IF(LEFT(表1[[#This Row],[代码]],2)="51","sh"&amp;表1[[#This Row],[代码]],"sz"&amp;表1[[#This Row],[代码]]))</f>
        <v>1091.2748999999999</v>
      </c>
      <c r="G2" s="38">
        <v>22700</v>
      </c>
      <c r="H2" s="15">
        <v>0.15</v>
      </c>
      <c r="I2" s="14">
        <f ca="1">表1[[#This Row],[最新价]]*表1[[#This Row],[持仓]]</f>
        <v>28647.4</v>
      </c>
      <c r="J2" s="16">
        <f ca="1">表1[[#Totals],[最新市值]]*表1[[#This Row],[目标占比]]</f>
        <v>28510.83</v>
      </c>
      <c r="K2" s="16">
        <f ca="1">表1[[#This Row],[目标市值]]-表1[[#This Row],[最新市值]]</f>
        <v>-136.56999999999971</v>
      </c>
      <c r="L2" s="25">
        <f ca="1">ROUNDDOWN(表1[[#This Row],[平衡金额]]/表1[[#This Row],[最新价]]/100,0)</f>
        <v>-1</v>
      </c>
      <c r="M2" s="25">
        <f ca="1">-表1[[#This Row],[平衡手数]]*表1[[#This Row],[最新价]]*100</f>
        <v>126.2</v>
      </c>
      <c r="N2" s="1"/>
    </row>
    <row r="3" spans="1:18" x14ac:dyDescent="0.2">
      <c r="A3" s="1" t="s">
        <v>11</v>
      </c>
      <c r="B3" s="13" t="s">
        <v>1</v>
      </c>
      <c r="C3" s="13" t="s">
        <v>62</v>
      </c>
      <c r="D3" s="13" t="s">
        <v>34</v>
      </c>
      <c r="E3" s="17">
        <f ca="1">getStockPrice(IF(LEFT(表1[[#This Row],[代码]],2)="51","sh"&amp;表1[[#This Row],[代码]],"sz"&amp;表1[[#This Row],[代码]]))</f>
        <v>4.3239999999999998</v>
      </c>
      <c r="F3" s="47">
        <f ca="1">getTradeVolume(IF(LEFT(表1[[#This Row],[代码]],2)="51","sh"&amp;表1[[#This Row],[代码]],"sz"&amp;表1[[#This Row],[代码]]))</f>
        <v>6641.8806000000004</v>
      </c>
      <c r="G3" s="38">
        <v>6600</v>
      </c>
      <c r="H3" s="15">
        <v>0.15</v>
      </c>
      <c r="I3" s="14">
        <f ca="1">表1[[#This Row],[最新价]]*表1[[#This Row],[持仓]]</f>
        <v>28538.399999999998</v>
      </c>
      <c r="J3" s="16">
        <f ca="1">表1[[#Totals],[最新市值]]*表1[[#This Row],[目标占比]]</f>
        <v>28510.83</v>
      </c>
      <c r="K3" s="16">
        <f ca="1">表1[[#This Row],[目标市值]]-表1[[#This Row],[最新市值]]</f>
        <v>-27.569999999996071</v>
      </c>
      <c r="L3" s="25">
        <f ca="1">ROUNDDOWN(表1[[#This Row],[平衡金额]]/表1[[#This Row],[最新价]]/100,0)</f>
        <v>0</v>
      </c>
      <c r="M3" s="25">
        <f ca="1">-表1[[#This Row],[平衡手数]]*表1[[#This Row],[最新价]]*100</f>
        <v>0</v>
      </c>
      <c r="N3" s="1"/>
    </row>
    <row r="4" spans="1:18" x14ac:dyDescent="0.2">
      <c r="A4" s="1" t="s">
        <v>12</v>
      </c>
      <c r="B4" s="13" t="s">
        <v>2</v>
      </c>
      <c r="C4" s="13" t="s">
        <v>62</v>
      </c>
      <c r="D4" s="13" t="s">
        <v>34</v>
      </c>
      <c r="E4" s="17">
        <f ca="1">getStockPrice(IF(LEFT(表1[[#This Row],[代码]],2)="51","sh"&amp;表1[[#This Row],[代码]],"sz"&amp;表1[[#This Row],[代码]]))</f>
        <v>2.4129999999999998</v>
      </c>
      <c r="F4" s="47">
        <f ca="1">getTradeVolume(IF(LEFT(表1[[#This Row],[代码]],2)="51","sh"&amp;表1[[#This Row],[代码]],"sz"&amp;表1[[#This Row],[代码]]))</f>
        <v>3768.4589000000001</v>
      </c>
      <c r="G4" s="38">
        <v>11800</v>
      </c>
      <c r="H4" s="15">
        <v>0.15</v>
      </c>
      <c r="I4" s="14">
        <f ca="1">表1[[#This Row],[最新价]]*表1[[#This Row],[持仓]]</f>
        <v>28473.399999999998</v>
      </c>
      <c r="J4" s="16">
        <f ca="1">表1[[#Totals],[最新市值]]*表1[[#This Row],[目标占比]]</f>
        <v>28510.83</v>
      </c>
      <c r="K4" s="16">
        <f ca="1">表1[[#This Row],[目标市值]]-表1[[#This Row],[最新市值]]</f>
        <v>37.430000000003929</v>
      </c>
      <c r="L4" s="25">
        <f ca="1">ROUNDDOWN(表1[[#This Row],[平衡金额]]/表1[[#This Row],[最新价]]/100,0)</f>
        <v>0</v>
      </c>
      <c r="M4" s="25">
        <f ca="1">-表1[[#This Row],[平衡手数]]*表1[[#This Row],[最新价]]*100</f>
        <v>0</v>
      </c>
      <c r="N4" s="1"/>
    </row>
    <row r="5" spans="1:18" x14ac:dyDescent="0.2">
      <c r="A5" s="1" t="s">
        <v>13</v>
      </c>
      <c r="B5" s="13" t="s">
        <v>0</v>
      </c>
      <c r="C5" s="13" t="s">
        <v>62</v>
      </c>
      <c r="D5" s="13" t="s">
        <v>65</v>
      </c>
      <c r="E5" s="17">
        <f ca="1">getStockPrice(IF(LEFT(表1[[#This Row],[代码]],2)="51","sh"&amp;表1[[#This Row],[代码]],"sz"&amp;表1[[#This Row],[代码]]))</f>
        <v>1.1779999999999999</v>
      </c>
      <c r="F5" s="47">
        <f ca="1">getTradeVolume(IF(LEFT(表1[[#This Row],[代码]],2)="51","sh"&amp;表1[[#This Row],[代码]],"sz"&amp;表1[[#This Row],[代码]]))</f>
        <v>1501.1077</v>
      </c>
      <c r="G5" s="38">
        <v>24100</v>
      </c>
      <c r="H5" s="15">
        <v>0.15</v>
      </c>
      <c r="I5" s="14">
        <f ca="1">表1[[#This Row],[最新价]]*表1[[#This Row],[持仓]]</f>
        <v>28389.8</v>
      </c>
      <c r="J5" s="16">
        <f ca="1">表1[[#Totals],[最新市值]]*表1[[#This Row],[目标占比]]</f>
        <v>28510.83</v>
      </c>
      <c r="K5" s="16">
        <f ca="1">表1[[#This Row],[目标市值]]-表1[[#This Row],[最新市值]]</f>
        <v>121.03000000000247</v>
      </c>
      <c r="L5" s="25">
        <f ca="1">ROUNDDOWN(表1[[#This Row],[平衡金额]]/表1[[#This Row],[最新价]]/100,0)</f>
        <v>1</v>
      </c>
      <c r="M5" s="25">
        <f ca="1">-表1[[#This Row],[平衡手数]]*表1[[#This Row],[最新价]]*100</f>
        <v>-117.8</v>
      </c>
      <c r="N5" s="1"/>
    </row>
    <row r="6" spans="1:18" x14ac:dyDescent="0.2">
      <c r="A6" s="1" t="s">
        <v>38</v>
      </c>
      <c r="B6" s="13" t="s">
        <v>39</v>
      </c>
      <c r="C6" s="13" t="s">
        <v>62</v>
      </c>
      <c r="D6" s="13" t="s">
        <v>33</v>
      </c>
      <c r="E6" s="17">
        <f ca="1">getStockPrice(IF(LEFT(表1[[#This Row],[代码]],2)="51","sh"&amp;表1[[#This Row],[代码]],"sz"&amp;表1[[#This Row],[代码]]))</f>
        <v>1.601</v>
      </c>
      <c r="F6" s="47">
        <f ca="1">getTradeVolume(IF(LEFT(表1[[#This Row],[代码]],2)="51","sh"&amp;表1[[#This Row],[代码]],"sz"&amp;表1[[#This Row],[代码]]))</f>
        <v>9832.9456202000001</v>
      </c>
      <c r="G6" s="38">
        <v>12000</v>
      </c>
      <c r="H6" s="15">
        <v>0.1</v>
      </c>
      <c r="I6" s="14">
        <f ca="1">表1[[#This Row],[最新价]]*表1[[#This Row],[持仓]]</f>
        <v>19212</v>
      </c>
      <c r="J6" s="16">
        <f ca="1">表1[[#Totals],[最新市值]]*表1[[#This Row],[目标占比]]</f>
        <v>19007.22</v>
      </c>
      <c r="K6" s="16">
        <f ca="1">表1[[#This Row],[目标市值]]-表1[[#This Row],[最新市值]]</f>
        <v>-204.77999999999884</v>
      </c>
      <c r="L6" s="25">
        <f ca="1">ROUNDDOWN(表1[[#This Row],[平衡金额]]/表1[[#This Row],[最新价]]/100,0)</f>
        <v>-1</v>
      </c>
      <c r="M6" s="25">
        <f ca="1">-表1[[#This Row],[平衡手数]]*表1[[#This Row],[最新价]]*100</f>
        <v>160.1</v>
      </c>
      <c r="N6" s="1"/>
    </row>
    <row r="7" spans="1:18" x14ac:dyDescent="0.2">
      <c r="A7" s="1" t="s">
        <v>15</v>
      </c>
      <c r="B7" s="13" t="s">
        <v>10</v>
      </c>
      <c r="C7" s="13" t="s">
        <v>62</v>
      </c>
      <c r="D7" s="13" t="s">
        <v>33</v>
      </c>
      <c r="E7" s="17">
        <f ca="1">getStockPrice(IF(LEFT(表1[[#This Row],[代码]],2)="51","sh"&amp;表1[[#This Row],[代码]],"sz"&amp;表1[[#This Row],[代码]]))</f>
        <v>2.335</v>
      </c>
      <c r="F7" s="47">
        <f ca="1">getTradeVolume(IF(LEFT(表1[[#This Row],[代码]],2)="51","sh"&amp;表1[[#This Row],[代码]],"sz"&amp;表1[[#This Row],[代码]]))</f>
        <v>16590.920999999998</v>
      </c>
      <c r="G7" s="38">
        <v>8200</v>
      </c>
      <c r="H7" s="15">
        <v>0.1</v>
      </c>
      <c r="I7" s="14">
        <f ca="1">表1[[#This Row],[最新价]]*表1[[#This Row],[持仓]]</f>
        <v>19147</v>
      </c>
      <c r="J7" s="16">
        <f ca="1">表1[[#Totals],[最新市值]]*表1[[#This Row],[目标占比]]</f>
        <v>19007.22</v>
      </c>
      <c r="K7" s="16">
        <f ca="1">表1[[#This Row],[目标市值]]-表1[[#This Row],[最新市值]]</f>
        <v>-139.77999999999884</v>
      </c>
      <c r="L7" s="25">
        <f ca="1">ROUNDDOWN(表1[[#This Row],[平衡金额]]/表1[[#This Row],[最新价]]/100,0)</f>
        <v>0</v>
      </c>
      <c r="M7" s="25">
        <f ca="1">-表1[[#This Row],[平衡手数]]*表1[[#This Row],[最新价]]*100</f>
        <v>0</v>
      </c>
      <c r="N7" s="1"/>
    </row>
    <row r="8" spans="1:18" x14ac:dyDescent="0.2">
      <c r="A8" s="44" t="s">
        <v>57</v>
      </c>
      <c r="B8" s="42" t="s">
        <v>117</v>
      </c>
      <c r="C8" s="42" t="s">
        <v>63</v>
      </c>
      <c r="D8" s="42" t="s">
        <v>57</v>
      </c>
      <c r="E8" s="48">
        <v>1</v>
      </c>
      <c r="F8" s="47"/>
      <c r="G8" s="43"/>
      <c r="H8" s="45">
        <v>0.1</v>
      </c>
      <c r="I8" s="39">
        <v>18916.599999999999</v>
      </c>
      <c r="J8" s="28">
        <f ca="1">表1[[#Totals],[最新市值]]*表1[[#This Row],[目标占比]]</f>
        <v>19007.22</v>
      </c>
      <c r="K8" s="16">
        <f ca="1">表1[[#This Row],[目标市值]]-表1[[#This Row],[最新市值]]</f>
        <v>90.620000000002619</v>
      </c>
      <c r="L8" s="25">
        <f ca="1">ROUNDDOWN(表1[[#This Row],[平衡金额]]/表1[[#This Row],[最新价]]/100,0)</f>
        <v>0</v>
      </c>
      <c r="M8" s="25">
        <f ca="1">-表1[[#This Row],[平衡手数]]*表1[[#This Row],[最新价]]*100</f>
        <v>0</v>
      </c>
      <c r="N8" s="1"/>
    </row>
    <row r="9" spans="1:18" x14ac:dyDescent="0.2">
      <c r="A9" s="1" t="s">
        <v>14</v>
      </c>
      <c r="B9" s="13" t="s">
        <v>3</v>
      </c>
      <c r="C9" s="13" t="s">
        <v>62</v>
      </c>
      <c r="D9" s="13" t="s">
        <v>33</v>
      </c>
      <c r="E9" s="17">
        <f ca="1">getStockPrice(IF(LEFT(表1[[#This Row],[代码]],2)="51","sh"&amp;表1[[#This Row],[代码]],"sz"&amp;表1[[#This Row],[代码]]))</f>
        <v>2.7570000000000001</v>
      </c>
      <c r="F9" s="47">
        <f ca="1">getTradeVolume(IF(LEFT(表1[[#This Row],[代码]],2)="51","sh"&amp;表1[[#This Row],[代码]],"sz"&amp;表1[[#This Row],[代码]]))</f>
        <v>2326.739</v>
      </c>
      <c r="G9" s="38">
        <v>6800</v>
      </c>
      <c r="H9" s="15">
        <v>0.1</v>
      </c>
      <c r="I9" s="14">
        <f ca="1">表1[[#This Row],[最新价]]*表1[[#This Row],[持仓]]</f>
        <v>18747.600000000002</v>
      </c>
      <c r="J9" s="16">
        <f ca="1">表1[[#Totals],[最新市值]]*表1[[#This Row],[目标占比]]</f>
        <v>19007.22</v>
      </c>
      <c r="K9" s="16">
        <f ca="1">表1[[#This Row],[目标市值]]-表1[[#This Row],[最新市值]]</f>
        <v>259.61999999999898</v>
      </c>
      <c r="L9" s="25">
        <f ca="1">ROUNDDOWN(表1[[#This Row],[平衡金额]]/表1[[#This Row],[最新价]]/100,0)</f>
        <v>0</v>
      </c>
      <c r="M9" s="25">
        <f ca="1">-表1[[#This Row],[平衡手数]]*表1[[#This Row],[最新价]]*100</f>
        <v>0</v>
      </c>
      <c r="N9" s="1"/>
    </row>
    <row r="10" spans="1:18" x14ac:dyDescent="0.2">
      <c r="A10" s="2" t="s">
        <v>8</v>
      </c>
      <c r="B10" s="30"/>
      <c r="C10" s="30"/>
      <c r="D10" s="30"/>
      <c r="E10" s="31"/>
      <c r="F10" s="32"/>
      <c r="G10" s="32"/>
      <c r="H10" s="33">
        <f>SUBTOTAL(109,表1[目标占比])</f>
        <v>0.99999999999999989</v>
      </c>
      <c r="I10" s="34">
        <f ca="1">SUBTOTAL(109,表1[最新市值])</f>
        <v>190072.2</v>
      </c>
      <c r="J10" s="35"/>
      <c r="K10" s="36">
        <f ca="1">SUBTOTAL(109,表1[平衡金额])</f>
        <v>1.4551915228366852E-11</v>
      </c>
      <c r="L10" s="37"/>
      <c r="M10" s="37">
        <f ca="1">SUBTOTAL(109,表1[手数对应金额])</f>
        <v>168.5</v>
      </c>
      <c r="N10" s="1"/>
    </row>
    <row r="11" spans="1:18" x14ac:dyDescent="0.2">
      <c r="O11"/>
      <c r="P11"/>
      <c r="Q11"/>
      <c r="R11"/>
    </row>
    <row r="12" spans="1:18" x14ac:dyDescent="0.2">
      <c r="O12"/>
      <c r="P12"/>
      <c r="Q12"/>
      <c r="R12"/>
    </row>
    <row r="13" spans="1:18" x14ac:dyDescent="0.2">
      <c r="O13"/>
      <c r="P13"/>
      <c r="Q13"/>
      <c r="R13"/>
    </row>
    <row r="14" spans="1:18" x14ac:dyDescent="0.2">
      <c r="A14"/>
      <c r="B14"/>
      <c r="C14"/>
      <c r="D14"/>
      <c r="O14"/>
      <c r="P14"/>
      <c r="Q14"/>
      <c r="R14"/>
    </row>
    <row r="15" spans="1:18" x14ac:dyDescent="0.2">
      <c r="A15"/>
      <c r="B15"/>
      <c r="C15"/>
      <c r="D15"/>
      <c r="O15"/>
      <c r="P15"/>
      <c r="Q15"/>
      <c r="R15"/>
    </row>
    <row r="16" spans="1:18" x14ac:dyDescent="0.2">
      <c r="A16"/>
      <c r="B16"/>
      <c r="C16"/>
      <c r="D16"/>
      <c r="O16"/>
      <c r="P16"/>
      <c r="Q16"/>
      <c r="R16"/>
    </row>
    <row r="17" spans="1:18" x14ac:dyDescent="0.2">
      <c r="A17"/>
      <c r="B17"/>
      <c r="C17"/>
      <c r="D17"/>
      <c r="O17"/>
      <c r="P17"/>
      <c r="Q17"/>
      <c r="R17"/>
    </row>
    <row r="18" spans="1:18" x14ac:dyDescent="0.2">
      <c r="A18"/>
      <c r="B18"/>
      <c r="C18"/>
      <c r="D18"/>
      <c r="G18" s="29"/>
      <c r="O18"/>
      <c r="P18"/>
      <c r="Q18"/>
      <c r="R18"/>
    </row>
    <row r="19" spans="1:18" x14ac:dyDescent="0.2">
      <c r="A19"/>
      <c r="B19"/>
      <c r="C19"/>
      <c r="D19"/>
      <c r="O19"/>
      <c r="P19"/>
      <c r="Q19"/>
      <c r="R19"/>
    </row>
    <row r="20" spans="1:18" x14ac:dyDescent="0.2">
      <c r="A20"/>
      <c r="B20"/>
      <c r="C20"/>
      <c r="D20"/>
      <c r="O20"/>
      <c r="P20"/>
      <c r="Q20"/>
      <c r="R20"/>
    </row>
    <row r="21" spans="1:18" x14ac:dyDescent="0.2">
      <c r="A21"/>
      <c r="B21"/>
      <c r="C21"/>
      <c r="D21"/>
    </row>
    <row r="22" spans="1:18" x14ac:dyDescent="0.2">
      <c r="A22"/>
      <c r="B22"/>
      <c r="C22"/>
      <c r="D22"/>
    </row>
    <row r="23" spans="1:18" x14ac:dyDescent="0.2">
      <c r="A23"/>
      <c r="B23"/>
      <c r="C23"/>
      <c r="D23"/>
    </row>
    <row r="24" spans="1:18" x14ac:dyDescent="0.2">
      <c r="A24"/>
      <c r="B24"/>
      <c r="C24"/>
      <c r="D24"/>
    </row>
    <row r="25" spans="1:18" x14ac:dyDescent="0.2">
      <c r="A25"/>
      <c r="B25"/>
      <c r="C25"/>
      <c r="D25"/>
    </row>
    <row r="26" spans="1:18" x14ac:dyDescent="0.2">
      <c r="A26"/>
      <c r="B26"/>
      <c r="C26"/>
      <c r="D26"/>
    </row>
    <row r="27" spans="1:18" x14ac:dyDescent="0.2">
      <c r="A27"/>
      <c r="B27"/>
      <c r="C27"/>
      <c r="D27"/>
    </row>
    <row r="28" spans="1:18" x14ac:dyDescent="0.2">
      <c r="A28"/>
      <c r="B28"/>
      <c r="C28"/>
      <c r="D28"/>
    </row>
    <row r="29" spans="1:18" x14ac:dyDescent="0.2">
      <c r="A29"/>
      <c r="B29"/>
      <c r="C29"/>
      <c r="D29"/>
    </row>
    <row r="30" spans="1:18" x14ac:dyDescent="0.2">
      <c r="A30"/>
      <c r="B30"/>
      <c r="C30"/>
      <c r="D30"/>
    </row>
    <row r="31" spans="1:18" x14ac:dyDescent="0.2">
      <c r="A31"/>
      <c r="B31"/>
      <c r="C31"/>
      <c r="D31"/>
    </row>
  </sheetData>
  <phoneticPr fontId="1" type="noConversion"/>
  <conditionalFormatting sqref="K2:M9">
    <cfRule type="cellIs" dxfId="13" priority="15" operator="greaterThan">
      <formula>0</formula>
    </cfRule>
    <cfRule type="cellIs" dxfId="12" priority="16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CAF69-FF58-4CAC-8D87-8AE70E932DDE}">
  <sheetPr codeName="Sheet2"/>
  <dimension ref="A1:O57"/>
  <sheetViews>
    <sheetView zoomScale="90" zoomScaleNormal="90" workbookViewId="0">
      <pane ySplit="14" topLeftCell="A30" activePane="bottomLeft" state="frozen"/>
      <selection pane="bottomLeft" activeCell="C59" sqref="C59"/>
    </sheetView>
  </sheetViews>
  <sheetFormatPr defaultRowHeight="14.25" outlineLevelRow="1" x14ac:dyDescent="0.2"/>
  <cols>
    <col min="1" max="1" width="15.625" bestFit="1" customWidth="1"/>
    <col min="2" max="14" width="12.25" style="4" bestFit="1" customWidth="1"/>
    <col min="15" max="15" width="10" style="4" bestFit="1" customWidth="1"/>
    <col min="16" max="16" width="12.25" bestFit="1" customWidth="1"/>
    <col min="17" max="17" width="10" bestFit="1" customWidth="1"/>
    <col min="18" max="27" width="16.75" bestFit="1" customWidth="1"/>
    <col min="28" max="28" width="19.875" bestFit="1" customWidth="1"/>
    <col min="29" max="29" width="21" bestFit="1" customWidth="1"/>
  </cols>
  <sheetData>
    <row r="1" spans="1:15" x14ac:dyDescent="0.2">
      <c r="A1" s="79" t="s">
        <v>134</v>
      </c>
      <c r="B1" s="80" t="str">
        <f t="shared" ref="B1:D1" si="0">IF(AND(B12="",A1&lt;&gt;"总计"),A1,B12)</f>
        <v>国债</v>
      </c>
      <c r="C1" s="80" t="str">
        <f t="shared" si="0"/>
        <v>美国指数</v>
      </c>
      <c r="D1" s="80" t="str">
        <f t="shared" si="0"/>
        <v>美国指数</v>
      </c>
      <c r="E1" s="80" t="str">
        <f>IF(AND(E12="",D1&lt;&gt;"总计"),D1,E12)</f>
        <v>中国指数</v>
      </c>
      <c r="F1" s="80" t="str">
        <f t="shared" ref="F1:O1" si="1">IF(AND(F12="",E1&lt;&gt;"总计"),E1,F12)</f>
        <v>中国指数</v>
      </c>
      <c r="G1" s="80" t="str">
        <f t="shared" si="1"/>
        <v>中国指数</v>
      </c>
      <c r="H1" s="80" t="str">
        <f t="shared" si="1"/>
        <v>中国指数</v>
      </c>
      <c r="I1" s="80" t="str">
        <f t="shared" si="1"/>
        <v>中国指数</v>
      </c>
      <c r="J1" s="80" t="str">
        <f t="shared" si="1"/>
        <v>中国指数</v>
      </c>
      <c r="K1" s="80" t="str">
        <f t="shared" si="1"/>
        <v>日欧指数</v>
      </c>
      <c r="L1" s="80" t="str">
        <f t="shared" si="1"/>
        <v>日欧指数</v>
      </c>
      <c r="M1" s="80" t="str">
        <f t="shared" si="1"/>
        <v>日欧指数</v>
      </c>
      <c r="N1" s="80" t="str">
        <f t="shared" si="1"/>
        <v>日欧指数</v>
      </c>
      <c r="O1" s="80" t="str">
        <f t="shared" si="1"/>
        <v>总计</v>
      </c>
    </row>
    <row r="2" spans="1:15" x14ac:dyDescent="0.2">
      <c r="A2" s="77" t="s">
        <v>17</v>
      </c>
      <c r="B2" s="78" t="str">
        <f>IF(AND(B13="",A2&lt;&gt;"总计",B1&lt;&gt;"总计"),A2,B13)</f>
        <v>国债</v>
      </c>
      <c r="C2" s="78" t="str">
        <f t="shared" ref="C2:O2" si="2">IF(AND(C13="",B2&lt;&gt;"总计",C1&lt;&gt;"总计"),B2,C13)</f>
        <v>纳指ETF</v>
      </c>
      <c r="D2" s="78" t="str">
        <f t="shared" si="2"/>
        <v>标普500</v>
      </c>
      <c r="E2" s="78" t="str">
        <f t="shared" si="2"/>
        <v>沪深300</v>
      </c>
      <c r="F2" s="78" t="str">
        <f t="shared" si="2"/>
        <v>恒生通</v>
      </c>
      <c r="G2" s="78" t="str">
        <f t="shared" si="2"/>
        <v>创业板</v>
      </c>
      <c r="H2" s="78" t="str">
        <f t="shared" si="2"/>
        <v>创业板</v>
      </c>
      <c r="I2" s="78" t="str">
        <f t="shared" si="2"/>
        <v>上证综指</v>
      </c>
      <c r="J2" s="78" t="str">
        <f t="shared" si="2"/>
        <v>医药ETF</v>
      </c>
      <c r="K2" s="78" t="str">
        <f t="shared" si="2"/>
        <v>日经225</v>
      </c>
      <c r="L2" s="78" t="str">
        <f t="shared" si="2"/>
        <v>日经225</v>
      </c>
      <c r="M2" s="78" t="str">
        <f t="shared" si="2"/>
        <v>德国30</v>
      </c>
      <c r="N2" s="78" t="str">
        <f t="shared" si="2"/>
        <v>法国ETF</v>
      </c>
      <c r="O2" s="78">
        <f t="shared" si="2"/>
        <v>0</v>
      </c>
    </row>
    <row r="3" spans="1:15" x14ac:dyDescent="0.2">
      <c r="A3" s="75" t="s">
        <v>18</v>
      </c>
      <c r="B3" s="76" t="str">
        <f t="shared" ref="B3:O3" si="3">B14</f>
        <v>国开债</v>
      </c>
      <c r="C3" s="76" t="str">
        <f t="shared" si="3"/>
        <v>513100</v>
      </c>
      <c r="D3" s="76" t="str">
        <f t="shared" si="3"/>
        <v>513500</v>
      </c>
      <c r="E3" s="76" t="str">
        <f t="shared" si="3"/>
        <v>510310</v>
      </c>
      <c r="F3" s="76" t="str">
        <f t="shared" si="3"/>
        <v>513660</v>
      </c>
      <c r="G3" s="76" t="str">
        <f t="shared" si="3"/>
        <v>159952</v>
      </c>
      <c r="H3" s="76" t="str">
        <f t="shared" si="3"/>
        <v>159964</v>
      </c>
      <c r="I3" s="76" t="str">
        <f t="shared" si="3"/>
        <v>510210</v>
      </c>
      <c r="J3" s="76" t="str">
        <f t="shared" si="3"/>
        <v>159929</v>
      </c>
      <c r="K3" s="76" t="str">
        <f t="shared" si="3"/>
        <v>513880</v>
      </c>
      <c r="L3" s="76" t="str">
        <f t="shared" si="3"/>
        <v>513000</v>
      </c>
      <c r="M3" s="76" t="str">
        <f t="shared" si="3"/>
        <v>513030</v>
      </c>
      <c r="N3" s="76" t="str">
        <f t="shared" si="3"/>
        <v>513080</v>
      </c>
      <c r="O3" s="76">
        <f t="shared" si="3"/>
        <v>0</v>
      </c>
    </row>
    <row r="4" spans="1:15" hidden="1" outlineLevel="1" x14ac:dyDescent="0.2">
      <c r="A4" s="68" t="s">
        <v>131</v>
      </c>
      <c r="B4" s="70">
        <f ca="1">MATCH(TODAY(),$A:$A,0)</f>
        <v>54</v>
      </c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</row>
    <row r="5" spans="1:15" hidden="1" outlineLevel="1" x14ac:dyDescent="0.2">
      <c r="A5" s="68" t="s">
        <v>133</v>
      </c>
      <c r="B5" s="70">
        <f>MATCH("成交日期",$A:$A,0)</f>
        <v>14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</row>
    <row r="6" spans="1:15" hidden="1" outlineLevel="1" x14ac:dyDescent="0.2">
      <c r="A6" s="68" t="s">
        <v>132</v>
      </c>
      <c r="B6" s="70">
        <f t="array" aca="1" ref="B6" ca="1">IFERROR(MATCH(FALSE,ISBLANK(OFFSET(B$1:B$1,$B$5,,MATCH(TODAY(),$A:$A,0)-$B$5,)),0)-1,"")</f>
        <v>8</v>
      </c>
      <c r="C6" s="70">
        <f t="array" aca="1" ref="C6" ca="1">IFERROR(MATCH(FALSE,ISBLANK(OFFSET(C$1:C$1,$B$5,,MATCH(TODAY(),$A:$A,0)-$B$5,)),0)-1,"")</f>
        <v>0</v>
      </c>
      <c r="D6" s="70">
        <f t="array" aca="1" ref="D6" ca="1">IFERROR(MATCH(FALSE,ISBLANK(OFFSET(D$1:D$1,$B$5,,MATCH(TODAY(),$A:$A,0)-$B$5,)),0)-1,"")</f>
        <v>0</v>
      </c>
      <c r="E6" s="70">
        <f t="array" aca="1" ref="E6" ca="1">IFERROR(MATCH(FALSE,ISBLANK(OFFSET(E$1:E$1,$B$5,,MATCH(TODAY(),$A:$A,0)-$B$5,)),0)-1,"")</f>
        <v>2</v>
      </c>
      <c r="F6" s="70">
        <f t="array" aca="1" ref="F6" ca="1">IFERROR(MATCH(FALSE,ISBLANK(OFFSET(F$1:F$1,$B$5,,MATCH(TODAY(),$A:$A,0)-$B$5,)),0)-1,"")</f>
        <v>0</v>
      </c>
      <c r="G6" s="70">
        <f t="array" aca="1" ref="G6" ca="1">IFERROR(MATCH(FALSE,ISBLANK(OFFSET(G$1:G$1,$B$5,,MATCH(TODAY(),$A:$A,0)-$B$5,)),0)-1,"")</f>
        <v>32</v>
      </c>
      <c r="H6" s="70">
        <f t="array" aca="1" ref="H6" ca="1">IFERROR(MATCH(FALSE,ISBLANK(OFFSET(H$1:H$1,$B$5,,MATCH(TODAY(),$A:$A,0)-$B$5,)),0)-1,"")</f>
        <v>1</v>
      </c>
      <c r="I6" s="70">
        <f t="array" aca="1" ref="I6" ca="1">IFERROR(MATCH(FALSE,ISBLANK(OFFSET(I$1:I$1,$B$5,,MATCH(TODAY(),$A:$A,0)-$B$5,)),0)-1,"")</f>
        <v>0</v>
      </c>
      <c r="J6" s="70">
        <f t="array" aca="1" ref="J6" ca="1">IFERROR(MATCH(FALSE,ISBLANK(OFFSET(J$1:J$1,$B$5,,MATCH(TODAY(),$A:$A,0)-$B$5,)),0)-1,"")</f>
        <v>2</v>
      </c>
      <c r="K6" s="70">
        <f t="array" aca="1" ref="K6" ca="1">IFERROR(MATCH(FALSE,ISBLANK(OFFSET(K$1:K$1,$B$5,,MATCH(TODAY(),$A:$A,0)-$B$5,)),0)-1,"")</f>
        <v>37</v>
      </c>
      <c r="L6" s="70">
        <f t="array" aca="1" ref="L6" ca="1">IFERROR(MATCH(FALSE,ISBLANK(OFFSET(L$1:L$1,$B$5,,MATCH(TODAY(),$A:$A,0)-$B$5,)),0)-1,"")</f>
        <v>0</v>
      </c>
      <c r="M6" s="70">
        <f t="array" aca="1" ref="M6" ca="1">IFERROR(MATCH(FALSE,ISBLANK(OFFSET(M$1:M$1,$B$5,,MATCH(TODAY(),$A:$A,0)-$B$5,)),0)-1,"")</f>
        <v>0</v>
      </c>
      <c r="N6" s="70">
        <f t="array" aca="1" ref="N6" ca="1">IFERROR(MATCH(FALSE,ISBLANK(OFFSET(N$1:N$1,$B$5,,MATCH(TODAY(),$A:$A,0)-$B$5,)),0)-1,"")</f>
        <v>2</v>
      </c>
      <c r="O6" s="70">
        <f t="array" aca="1" ref="O6" ca="1">IFERROR(MATCH(FALSE,ISBLANK(OFFSET(O$1:O$1,$B$5,,MATCH(TODAY(),$A:$A,0)-$B$5,)),0)-1,"")</f>
        <v>0</v>
      </c>
    </row>
    <row r="7" spans="1:15" hidden="1" outlineLevel="1" x14ac:dyDescent="0.2">
      <c r="A7" s="68" t="s">
        <v>139</v>
      </c>
      <c r="B7" s="70">
        <f t="array" aca="1" ref="B7" ca="1">IFERROR(MATCH(9E+307,OFFSET(B$1:B$1,$B$5,,MATCH(TODAY(),$A:$A,0)-$B$5,),1)-1,"")</f>
        <v>39</v>
      </c>
      <c r="C7" s="70">
        <f t="array" aca="1" ref="C7" ca="1">IFERROR(MATCH(9E+307,OFFSET(C$1:C$1,$B$5,,MATCH(TODAY(),$A:$A,0)-$B$5,),1)-1,"")</f>
        <v>39</v>
      </c>
      <c r="D7" s="70">
        <f t="array" aca="1" ref="D7" ca="1">IFERROR(MATCH(9E+307,OFFSET(D$1:D$1,$B$5,,MATCH(TODAY(),$A:$A,0)-$B$5,),1)-1,"")</f>
        <v>39</v>
      </c>
      <c r="E7" s="70">
        <f t="array" aca="1" ref="E7" ca="1">IFERROR(MATCH(9E+307,OFFSET(E$1:E$1,$B$5,,MATCH(TODAY(),$A:$A,0)-$B$5,),1)-1,"")</f>
        <v>39</v>
      </c>
      <c r="F7" s="70">
        <f t="array" aca="1" ref="F7" ca="1">IFERROR(MATCH(9E+307,OFFSET(F$1:F$1,$B$5,,MATCH(TODAY(),$A:$A,0)-$B$5,),1)-1,"")</f>
        <v>39</v>
      </c>
      <c r="G7" s="70">
        <f t="array" aca="1" ref="G7" ca="1">IFERROR(MATCH(9E+307,OFFSET(G$1:G$1,$B$5,,MATCH(TODAY(),$A:$A,0)-$B$5,),1)-1,"")</f>
        <v>39</v>
      </c>
      <c r="H7" s="70">
        <f t="array" aca="1" ref="H7" ca="1">IFERROR(MATCH(9E+307,OFFSET(H$1:H$1,$B$5,,MATCH(TODAY(),$A:$A,0)-$B$5,),1)-1,"")</f>
        <v>33</v>
      </c>
      <c r="I7" s="70">
        <f t="array" aca="1" ref="I7" ca="1">IFERROR(MATCH(9E+307,OFFSET(I$1:I$1,$B$5,,MATCH(TODAY(),$A:$A,0)-$B$5,),1)-1,"")</f>
        <v>2</v>
      </c>
      <c r="J7" s="70">
        <f t="array" aca="1" ref="J7" ca="1">IFERROR(MATCH(9E+307,OFFSET(J$1:J$1,$B$5,,MATCH(TODAY(),$A:$A,0)-$B$5,),1)-1,"")</f>
        <v>31</v>
      </c>
      <c r="K7" s="70">
        <f t="array" aca="1" ref="K7" ca="1">IFERROR(MATCH(9E+307,OFFSET(K$1:K$1,$B$5,,MATCH(TODAY(),$A:$A,0)-$B$5,),1)-1,"")</f>
        <v>39</v>
      </c>
      <c r="L7" s="70">
        <f t="array" aca="1" ref="L7" ca="1">IFERROR(MATCH(9E+307,OFFSET(L$1:L$1,$B$5,,MATCH(TODAY(),$A:$A,0)-$B$5,),1)-1,"")</f>
        <v>37</v>
      </c>
      <c r="M7" s="70">
        <f t="array" aca="1" ref="M7" ca="1">IFERROR(MATCH(9E+307,OFFSET(M$1:M$1,$B$5,,MATCH(TODAY(),$A:$A,0)-$B$5,),1)-1,"")</f>
        <v>39</v>
      </c>
      <c r="N7" s="70">
        <f t="array" aca="1" ref="N7" ca="1">IFERROR(MATCH(9E+307,OFFSET(N$1:N$1,$B$5,,MATCH(TODAY(),$A:$A,0)-$B$5,),1)-1,"")</f>
        <v>37</v>
      </c>
      <c r="O7" s="70">
        <f t="array" aca="1" ref="O7" ca="1">IFERROR(MATCH(9E+307,OFFSET(O$1:O$1,$B$5,,MATCH(TODAY(),$A:$A,0)-$B$5,),1)-1,"")</f>
        <v>39</v>
      </c>
    </row>
    <row r="8" spans="1:15" collapsed="1" x14ac:dyDescent="0.2">
      <c r="A8" s="71" t="s">
        <v>130</v>
      </c>
      <c r="B8" s="73">
        <f ca="1">IFERROR(XIRR(OFFSET(B$1:B$1,$B$5+B6,0,$B$4-$B$5-B6,),OFFSET($A$1:$A$1,$B$5+B6,0,$B$4-$B$5-B6,),),"")</f>
        <v>0.21564822793006896</v>
      </c>
      <c r="C8" s="73">
        <f t="shared" ref="C8:O8" ca="1" si="4">IFERROR(XIRR(OFFSET(C$1:C$1,$B$5+C6,0,$B$4-$B$5-C6,),OFFSET($A$1:$A$1,$B$5+C6,0,$B$4-$B$5-C6,),),"")</f>
        <v>0.2968328177928925</v>
      </c>
      <c r="D8" s="73">
        <f t="shared" ca="1" si="4"/>
        <v>0.15906947255134588</v>
      </c>
      <c r="E8" s="73">
        <f t="shared" ca="1" si="4"/>
        <v>0.10781760811805724</v>
      </c>
      <c r="F8" s="73">
        <f t="shared" ca="1" si="4"/>
        <v>7.9050561785697956E-2</v>
      </c>
      <c r="G8" s="73">
        <f t="shared" ca="1" si="4"/>
        <v>-0.68890707865357403</v>
      </c>
      <c r="H8" s="73">
        <f t="shared" ca="1" si="4"/>
        <v>0.28812180161476142</v>
      </c>
      <c r="I8" s="73">
        <f t="shared" ca="1" si="4"/>
        <v>0.35041641592979433</v>
      </c>
      <c r="J8" s="73">
        <f t="shared" ca="1" si="4"/>
        <v>-9.4954222440719604E-3</v>
      </c>
      <c r="K8" s="73">
        <f t="shared" ca="1" si="4"/>
        <v>5.1512795925140393</v>
      </c>
      <c r="L8" s="73">
        <f t="shared" ca="1" si="4"/>
        <v>0.17027006745338441</v>
      </c>
      <c r="M8" s="73">
        <f t="shared" ca="1" si="4"/>
        <v>0.10271806120872498</v>
      </c>
      <c r="N8" s="73">
        <f t="shared" ca="1" si="4"/>
        <v>0.27460076212883</v>
      </c>
      <c r="O8" s="73">
        <f t="shared" ca="1" si="4"/>
        <v>0.17728073000907899</v>
      </c>
    </row>
    <row r="9" spans="1:15" s="69" customFormat="1" x14ac:dyDescent="0.2">
      <c r="A9" s="72" t="s">
        <v>138</v>
      </c>
      <c r="B9" s="74">
        <f ca="1">IFERROR(_xlfn.DAYS(OFFSET($A$1:$A$1,$B5+B7,,),OFFSET($A$1:$A$1,$B5+B6,,)),"")</f>
        <v>143</v>
      </c>
      <c r="C9" s="74">
        <f t="shared" ref="C9:O9" ca="1" si="5">IFERROR(_xlfn.DAYS(OFFSET($A$1:$A$1,$B5+C7,,),OFFSET($A$1:$A$1,$B5+C6,,)),"")</f>
        <v>580</v>
      </c>
      <c r="D9" s="74">
        <f t="shared" ca="1" si="5"/>
        <v>580</v>
      </c>
      <c r="E9" s="74">
        <f t="shared" ca="1" si="5"/>
        <v>222</v>
      </c>
      <c r="F9" s="74">
        <f t="shared" ca="1" si="5"/>
        <v>580</v>
      </c>
      <c r="G9" s="74">
        <f t="shared" ca="1" si="5"/>
        <v>16</v>
      </c>
      <c r="H9" s="74">
        <f t="shared" ca="1" si="5"/>
        <v>370</v>
      </c>
      <c r="I9" s="74">
        <f t="shared" ca="1" si="5"/>
        <v>358</v>
      </c>
      <c r="J9" s="74">
        <f t="shared" ca="1" si="5"/>
        <v>205</v>
      </c>
      <c r="K9" s="74">
        <f t="shared" ca="1" si="5"/>
        <v>4</v>
      </c>
      <c r="L9" s="74">
        <f t="shared" ca="1" si="5"/>
        <v>576</v>
      </c>
      <c r="M9" s="74">
        <f t="shared" ca="1" si="5"/>
        <v>580</v>
      </c>
      <c r="N9" s="74">
        <f t="shared" ca="1" si="5"/>
        <v>218</v>
      </c>
      <c r="O9" s="74">
        <f t="shared" ca="1" si="5"/>
        <v>580</v>
      </c>
    </row>
    <row r="10" spans="1:15" s="66" customFormat="1" x14ac:dyDescent="0.2"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</row>
    <row r="11" spans="1:15" x14ac:dyDescent="0.2">
      <c r="A11" s="46" t="s">
        <v>116</v>
      </c>
      <c r="B11" s="46" t="s">
        <v>144</v>
      </c>
      <c r="C11" s="46" t="s">
        <v>143</v>
      </c>
      <c r="D11" s="57" t="s">
        <v>17</v>
      </c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</row>
    <row r="12" spans="1:15" x14ac:dyDescent="0.2">
      <c r="B12" t="s">
        <v>137</v>
      </c>
      <c r="C12" t="s">
        <v>135</v>
      </c>
      <c r="D12"/>
      <c r="E12" t="s">
        <v>136</v>
      </c>
      <c r="F12"/>
      <c r="G12"/>
      <c r="H12"/>
      <c r="I12"/>
      <c r="J12"/>
      <c r="K12" t="s">
        <v>145</v>
      </c>
      <c r="L12"/>
      <c r="M12"/>
      <c r="N12"/>
      <c r="O12" s="8" t="s">
        <v>59</v>
      </c>
    </row>
    <row r="13" spans="1:15" x14ac:dyDescent="0.2">
      <c r="B13" t="s">
        <v>137</v>
      </c>
      <c r="C13" t="s">
        <v>24</v>
      </c>
      <c r="D13" t="s">
        <v>22</v>
      </c>
      <c r="E13" t="s">
        <v>140</v>
      </c>
      <c r="F13" t="s">
        <v>25</v>
      </c>
      <c r="G13" t="s">
        <v>141</v>
      </c>
      <c r="H13"/>
      <c r="I13" t="s">
        <v>142</v>
      </c>
      <c r="J13" t="s">
        <v>31</v>
      </c>
      <c r="K13" t="s">
        <v>115</v>
      </c>
      <c r="L13"/>
      <c r="M13" t="s">
        <v>23</v>
      </c>
      <c r="N13" t="s">
        <v>29</v>
      </c>
      <c r="O13" s="8"/>
    </row>
    <row r="14" spans="1:15" x14ac:dyDescent="0.2">
      <c r="A14" s="46" t="s">
        <v>16</v>
      </c>
      <c r="B14" s="5" t="s">
        <v>64</v>
      </c>
      <c r="C14" s="5" t="s">
        <v>43</v>
      </c>
      <c r="D14" s="5" t="s">
        <v>42</v>
      </c>
      <c r="E14" s="5" t="s">
        <v>48</v>
      </c>
      <c r="F14" s="5" t="s">
        <v>47</v>
      </c>
      <c r="G14" s="5" t="s">
        <v>49</v>
      </c>
      <c r="H14" s="5" t="s">
        <v>101</v>
      </c>
      <c r="I14" s="5" t="s">
        <v>66</v>
      </c>
      <c r="J14" s="5" t="s">
        <v>104</v>
      </c>
      <c r="K14" s="5" t="s">
        <v>82</v>
      </c>
      <c r="L14" s="5" t="s">
        <v>44</v>
      </c>
      <c r="M14" s="5" t="s">
        <v>45</v>
      </c>
      <c r="N14" s="5" t="s">
        <v>46</v>
      </c>
      <c r="O14" s="8"/>
    </row>
    <row r="15" spans="1:15" x14ac:dyDescent="0.2">
      <c r="A15" s="24">
        <v>43689</v>
      </c>
      <c r="B15" s="56"/>
      <c r="C15" s="56">
        <v>-9858.41</v>
      </c>
      <c r="D15" s="56">
        <v>-10042.02</v>
      </c>
      <c r="E15" s="56"/>
      <c r="F15" s="56">
        <v>-4959</v>
      </c>
      <c r="G15" s="56"/>
      <c r="H15" s="56"/>
      <c r="I15" s="56">
        <v>-4952.6000000000004</v>
      </c>
      <c r="J15" s="56"/>
      <c r="K15" s="56"/>
      <c r="L15" s="56">
        <v>-9965.3799999999992</v>
      </c>
      <c r="M15" s="56">
        <v>-9975.2800000000007</v>
      </c>
      <c r="N15" s="56"/>
      <c r="O15" s="56">
        <v>-49752.689999999995</v>
      </c>
    </row>
    <row r="16" spans="1:15" x14ac:dyDescent="0.2">
      <c r="A16" s="24">
        <v>43886</v>
      </c>
      <c r="B16" s="56"/>
      <c r="C16" s="56">
        <v>-357.8</v>
      </c>
      <c r="D16" s="56">
        <v>-1717</v>
      </c>
      <c r="E16" s="56"/>
      <c r="F16" s="56">
        <v>-3381.1</v>
      </c>
      <c r="G16" s="56"/>
      <c r="H16" s="56">
        <v>-8510.7000000000007</v>
      </c>
      <c r="I16" s="56">
        <v>-3121</v>
      </c>
      <c r="J16" s="56"/>
      <c r="K16" s="56"/>
      <c r="L16" s="56">
        <v>-6533.6</v>
      </c>
      <c r="M16" s="56">
        <v>-6388.8</v>
      </c>
      <c r="N16" s="56"/>
      <c r="O16" s="56">
        <v>-30009.999999999996</v>
      </c>
    </row>
    <row r="17" spans="1:15" x14ac:dyDescent="0.2">
      <c r="A17" s="24">
        <v>44047</v>
      </c>
      <c r="B17" s="56"/>
      <c r="C17" s="56">
        <v>-4757</v>
      </c>
      <c r="D17" s="56">
        <v>-6030.6</v>
      </c>
      <c r="E17" s="56">
        <v>-10186.31</v>
      </c>
      <c r="F17" s="56">
        <v>-2006.6</v>
      </c>
      <c r="G17" s="56"/>
      <c r="H17" s="56">
        <v>667.4</v>
      </c>
      <c r="I17" s="56">
        <v>10212.870000000001</v>
      </c>
      <c r="J17" s="56">
        <v>-7625</v>
      </c>
      <c r="K17" s="56"/>
      <c r="L17" s="56">
        <v>-1423.3</v>
      </c>
      <c r="M17" s="56">
        <v>1646.5</v>
      </c>
      <c r="N17" s="56">
        <v>-15737.84</v>
      </c>
      <c r="O17" s="56">
        <v>-35239.879999999997</v>
      </c>
    </row>
    <row r="18" spans="1:15" x14ac:dyDescent="0.2">
      <c r="A18" s="24">
        <v>44071</v>
      </c>
      <c r="B18" s="56"/>
      <c r="C18" s="56">
        <v>923</v>
      </c>
      <c r="D18" s="56"/>
      <c r="E18" s="56"/>
      <c r="F18" s="56"/>
      <c r="G18" s="56"/>
      <c r="H18" s="56">
        <v>-487.7</v>
      </c>
      <c r="I18" s="56"/>
      <c r="J18" s="56">
        <v>-486</v>
      </c>
      <c r="K18" s="56"/>
      <c r="L18" s="56"/>
      <c r="M18" s="56"/>
      <c r="N18" s="56"/>
      <c r="O18" s="56">
        <v>-50.699999999999989</v>
      </c>
    </row>
    <row r="19" spans="1:15" x14ac:dyDescent="0.2">
      <c r="A19" s="24">
        <v>44074</v>
      </c>
      <c r="B19" s="56"/>
      <c r="C19" s="56">
        <v>984</v>
      </c>
      <c r="D19" s="56"/>
      <c r="E19" s="56"/>
      <c r="F19" s="56"/>
      <c r="G19" s="56"/>
      <c r="H19" s="56"/>
      <c r="I19" s="56"/>
      <c r="J19" s="56"/>
      <c r="K19" s="56"/>
      <c r="L19" s="56">
        <v>-561</v>
      </c>
      <c r="M19" s="56"/>
      <c r="N19" s="56">
        <v>-529.5</v>
      </c>
      <c r="O19" s="56">
        <v>-106.5</v>
      </c>
    </row>
    <row r="20" spans="1:15" x14ac:dyDescent="0.2">
      <c r="A20" s="24">
        <v>44075</v>
      </c>
      <c r="B20" s="56"/>
      <c r="C20" s="56">
        <v>518.4</v>
      </c>
      <c r="D20" s="56"/>
      <c r="E20" s="56"/>
      <c r="F20" s="56"/>
      <c r="G20" s="56"/>
      <c r="H20" s="56"/>
      <c r="I20" s="56"/>
      <c r="J20" s="56"/>
      <c r="K20" s="56"/>
      <c r="L20" s="56"/>
      <c r="M20" s="56">
        <v>-453.4</v>
      </c>
      <c r="N20" s="56"/>
      <c r="O20" s="56">
        <v>65</v>
      </c>
    </row>
    <row r="21" spans="1:15" x14ac:dyDescent="0.2">
      <c r="A21" s="24">
        <v>44090</v>
      </c>
      <c r="B21" s="56"/>
      <c r="C21" s="56">
        <v>982.6</v>
      </c>
      <c r="D21" s="56"/>
      <c r="E21" s="56"/>
      <c r="F21" s="56"/>
      <c r="G21" s="56"/>
      <c r="H21" s="56">
        <v>-625</v>
      </c>
      <c r="I21" s="56"/>
      <c r="J21" s="56">
        <v>-458.8</v>
      </c>
      <c r="K21" s="56"/>
      <c r="L21" s="56"/>
      <c r="M21" s="56"/>
      <c r="N21" s="56"/>
      <c r="O21" s="56">
        <v>-101.19999999999999</v>
      </c>
    </row>
    <row r="22" spans="1:15" x14ac:dyDescent="0.2">
      <c r="A22" s="24">
        <v>44098</v>
      </c>
      <c r="B22" s="56"/>
      <c r="C22" s="56"/>
      <c r="D22" s="56"/>
      <c r="E22" s="56"/>
      <c r="F22" s="56">
        <v>-465.8</v>
      </c>
      <c r="G22" s="56"/>
      <c r="H22" s="56"/>
      <c r="I22" s="56"/>
      <c r="J22" s="56"/>
      <c r="K22" s="56"/>
      <c r="L22" s="56">
        <v>656.2</v>
      </c>
      <c r="M22" s="56"/>
      <c r="N22" s="56"/>
      <c r="O22" s="56">
        <v>190.40000000000003</v>
      </c>
    </row>
    <row r="23" spans="1:15" x14ac:dyDescent="0.2">
      <c r="A23" s="24">
        <v>44126</v>
      </c>
      <c r="B23" s="56">
        <v>-5052.78</v>
      </c>
      <c r="C23" s="56">
        <v>-2282</v>
      </c>
      <c r="D23" s="56">
        <v>-2159</v>
      </c>
      <c r="E23" s="56">
        <v>-1086.5</v>
      </c>
      <c r="F23" s="56">
        <v>-1193.5</v>
      </c>
      <c r="G23" s="56"/>
      <c r="H23" s="56">
        <v>-656.2</v>
      </c>
      <c r="I23" s="56"/>
      <c r="J23" s="56">
        <v>-693.2</v>
      </c>
      <c r="K23" s="56"/>
      <c r="L23" s="56">
        <v>-2106.4</v>
      </c>
      <c r="M23" s="56">
        <v>-2410.6999999999998</v>
      </c>
      <c r="N23" s="56">
        <v>-2167.6</v>
      </c>
      <c r="O23" s="56">
        <v>-19807.879999999997</v>
      </c>
    </row>
    <row r="24" spans="1:15" x14ac:dyDescent="0.2">
      <c r="A24" s="24">
        <v>44134</v>
      </c>
      <c r="B24" s="56"/>
      <c r="C24" s="56">
        <v>-862.4</v>
      </c>
      <c r="D24" s="56"/>
      <c r="E24" s="56"/>
      <c r="F24" s="56"/>
      <c r="G24" s="56"/>
      <c r="H24" s="56">
        <v>315.8</v>
      </c>
      <c r="I24" s="56"/>
      <c r="J24" s="56"/>
      <c r="K24" s="56"/>
      <c r="L24" s="56">
        <v>543</v>
      </c>
      <c r="M24" s="56"/>
      <c r="N24" s="56"/>
      <c r="O24" s="56">
        <v>-3.5999999999999091</v>
      </c>
    </row>
    <row r="25" spans="1:15" x14ac:dyDescent="0.2">
      <c r="A25" s="24">
        <v>44140</v>
      </c>
      <c r="B25" s="56"/>
      <c r="C25" s="56">
        <v>943.6</v>
      </c>
      <c r="D25" s="56"/>
      <c r="E25" s="56"/>
      <c r="F25" s="56"/>
      <c r="G25" s="56"/>
      <c r="H25" s="56"/>
      <c r="I25" s="56"/>
      <c r="J25" s="56"/>
      <c r="K25" s="56"/>
      <c r="L25" s="56"/>
      <c r="M25" s="56">
        <v>-610.4</v>
      </c>
      <c r="N25" s="56">
        <v>-395.4</v>
      </c>
      <c r="O25" s="56">
        <v>-62.199999999999932</v>
      </c>
    </row>
    <row r="26" spans="1:15" x14ac:dyDescent="0.2">
      <c r="A26" s="24">
        <v>44147</v>
      </c>
      <c r="B26" s="56"/>
      <c r="C26" s="56">
        <v>-1776.6</v>
      </c>
      <c r="D26" s="56"/>
      <c r="E26" s="56"/>
      <c r="F26" s="56"/>
      <c r="G26" s="56"/>
      <c r="H26" s="56"/>
      <c r="I26" s="56"/>
      <c r="J26" s="56">
        <v>-452.6</v>
      </c>
      <c r="K26" s="56"/>
      <c r="L26" s="56"/>
      <c r="M26" s="56">
        <v>635.20000000000005</v>
      </c>
      <c r="N26" s="56">
        <v>1375.6</v>
      </c>
      <c r="O26" s="56">
        <v>-218.39999999999986</v>
      </c>
    </row>
    <row r="27" spans="1:15" x14ac:dyDescent="0.2">
      <c r="A27" s="24">
        <v>44152</v>
      </c>
      <c r="B27" s="56"/>
      <c r="C27" s="56"/>
      <c r="D27" s="56"/>
      <c r="E27" s="56"/>
      <c r="F27" s="56">
        <v>497</v>
      </c>
      <c r="G27" s="56"/>
      <c r="H27" s="56">
        <v>-655</v>
      </c>
      <c r="I27" s="56"/>
      <c r="J27" s="56"/>
      <c r="K27" s="56"/>
      <c r="L27" s="56"/>
      <c r="M27" s="56"/>
      <c r="N27" s="56"/>
      <c r="O27" s="56">
        <v>-158</v>
      </c>
    </row>
    <row r="28" spans="1:15" x14ac:dyDescent="0.2">
      <c r="A28" s="24">
        <v>44160</v>
      </c>
      <c r="B28" s="56"/>
      <c r="C28" s="56">
        <v>-870.2</v>
      </c>
      <c r="D28" s="56"/>
      <c r="E28" s="56"/>
      <c r="F28" s="56"/>
      <c r="G28" s="56"/>
      <c r="H28" s="56"/>
      <c r="I28" s="56"/>
      <c r="J28" s="56"/>
      <c r="K28" s="56"/>
      <c r="L28" s="56">
        <v>735.4</v>
      </c>
      <c r="M28" s="56"/>
      <c r="N28" s="56"/>
      <c r="O28" s="56">
        <v>-134.80000000000007</v>
      </c>
    </row>
    <row r="29" spans="1:15" x14ac:dyDescent="0.2">
      <c r="A29" s="24">
        <v>44162</v>
      </c>
      <c r="B29" s="56"/>
      <c r="C29" s="56"/>
      <c r="D29" s="56"/>
      <c r="E29" s="56"/>
      <c r="F29" s="56"/>
      <c r="G29" s="56"/>
      <c r="H29" s="56"/>
      <c r="I29" s="56"/>
      <c r="J29" s="56">
        <v>-636.20000000000005</v>
      </c>
      <c r="K29" s="56"/>
      <c r="L29" s="56"/>
      <c r="M29" s="56"/>
      <c r="N29" s="56">
        <v>543.5</v>
      </c>
      <c r="O29" s="56">
        <v>-92.700000000000045</v>
      </c>
    </row>
    <row r="30" spans="1:15" x14ac:dyDescent="0.2">
      <c r="A30" s="24">
        <v>44183</v>
      </c>
      <c r="B30" s="56"/>
      <c r="C30" s="56"/>
      <c r="D30" s="56"/>
      <c r="E30" s="56"/>
      <c r="F30" s="56">
        <v>-509</v>
      </c>
      <c r="G30" s="56"/>
      <c r="H30" s="56"/>
      <c r="I30" s="56"/>
      <c r="J30" s="56">
        <v>689.5</v>
      </c>
      <c r="K30" s="56"/>
      <c r="L30" s="56"/>
      <c r="M30" s="56">
        <v>562.5</v>
      </c>
      <c r="N30" s="56"/>
      <c r="O30" s="56">
        <v>743</v>
      </c>
    </row>
    <row r="31" spans="1:15" x14ac:dyDescent="0.2">
      <c r="A31" s="24">
        <v>44200</v>
      </c>
      <c r="B31" s="56"/>
      <c r="C31" s="56"/>
      <c r="D31" s="56">
        <v>-463.4</v>
      </c>
      <c r="E31" s="56"/>
      <c r="F31" s="56"/>
      <c r="G31" s="56"/>
      <c r="H31" s="56">
        <v>720.6</v>
      </c>
      <c r="I31" s="56"/>
      <c r="J31" s="56"/>
      <c r="K31" s="56"/>
      <c r="L31" s="56"/>
      <c r="M31" s="56"/>
      <c r="N31" s="56">
        <v>-230.8</v>
      </c>
      <c r="O31" s="56">
        <v>26.400000000000034</v>
      </c>
    </row>
    <row r="32" spans="1:15" x14ac:dyDescent="0.2">
      <c r="A32" s="24">
        <v>44201</v>
      </c>
      <c r="B32" s="56"/>
      <c r="C32" s="56">
        <v>-2135.5</v>
      </c>
      <c r="D32" s="56">
        <v>-1578.6</v>
      </c>
      <c r="E32" s="56">
        <v>-485.8</v>
      </c>
      <c r="F32" s="56">
        <v>-519.6</v>
      </c>
      <c r="G32" s="56"/>
      <c r="H32" s="56"/>
      <c r="I32" s="56"/>
      <c r="J32" s="56">
        <v>-244.1</v>
      </c>
      <c r="K32" s="56"/>
      <c r="L32" s="56">
        <v>-1388.8</v>
      </c>
      <c r="M32" s="56">
        <v>-1369.4</v>
      </c>
      <c r="N32" s="56">
        <v>-1241.4000000000001</v>
      </c>
      <c r="O32" s="56">
        <v>-8963.2000000000007</v>
      </c>
    </row>
    <row r="33" spans="1:15" x14ac:dyDescent="0.2">
      <c r="A33" s="24">
        <v>44204</v>
      </c>
      <c r="B33" s="56">
        <v>174</v>
      </c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>
        <v>174</v>
      </c>
    </row>
    <row r="34" spans="1:15" x14ac:dyDescent="0.2">
      <c r="A34" s="24">
        <v>44209</v>
      </c>
      <c r="B34" s="56"/>
      <c r="C34" s="56">
        <v>24381.360000000001</v>
      </c>
      <c r="D34" s="56">
        <v>24659.4</v>
      </c>
      <c r="E34" s="56">
        <v>13626.82</v>
      </c>
      <c r="F34" s="56">
        <v>13354.060000000001</v>
      </c>
      <c r="G34" s="56"/>
      <c r="H34" s="56">
        <v>12864.37</v>
      </c>
      <c r="I34" s="56"/>
      <c r="J34" s="56">
        <v>9738.15</v>
      </c>
      <c r="K34" s="56"/>
      <c r="L34" s="56">
        <v>25021.78</v>
      </c>
      <c r="M34" s="56">
        <v>20325.099999999999</v>
      </c>
      <c r="N34" s="56">
        <v>20226.07</v>
      </c>
      <c r="O34" s="56">
        <v>164197.10999999999</v>
      </c>
    </row>
    <row r="35" spans="1:15" x14ac:dyDescent="0.2">
      <c r="A35" s="24">
        <v>44210</v>
      </c>
      <c r="B35" s="56"/>
      <c r="C35" s="56">
        <v>-24925.09</v>
      </c>
      <c r="D35" s="56">
        <v>-24858.59</v>
      </c>
      <c r="E35" s="56">
        <v>-13293.73</v>
      </c>
      <c r="F35" s="56">
        <v>-13197.02</v>
      </c>
      <c r="G35" s="56"/>
      <c r="H35" s="56">
        <v>-13224.32</v>
      </c>
      <c r="I35" s="56"/>
      <c r="J35" s="56">
        <v>-9931.19</v>
      </c>
      <c r="K35" s="56"/>
      <c r="L35" s="56">
        <v>-24893.69</v>
      </c>
      <c r="M35" s="56">
        <v>-20684.07</v>
      </c>
      <c r="N35" s="56">
        <v>-20581.759999999998</v>
      </c>
      <c r="O35" s="56">
        <v>-165589.46000000002</v>
      </c>
    </row>
    <row r="36" spans="1:15" x14ac:dyDescent="0.2">
      <c r="A36" s="24">
        <v>44222</v>
      </c>
      <c r="B36" s="56"/>
      <c r="C36" s="56">
        <v>445.7</v>
      </c>
      <c r="D36" s="56"/>
      <c r="E36" s="56"/>
      <c r="F36" s="56">
        <v>282.7</v>
      </c>
      <c r="G36" s="56"/>
      <c r="H36" s="56">
        <v>397.9</v>
      </c>
      <c r="I36" s="56"/>
      <c r="J36" s="56">
        <v>258</v>
      </c>
      <c r="K36" s="56"/>
      <c r="L36" s="56">
        <v>-264.7</v>
      </c>
      <c r="M36" s="56">
        <v>-788.3</v>
      </c>
      <c r="N36" s="56">
        <v>-779.2</v>
      </c>
      <c r="O36" s="56">
        <v>-447.90000000000009</v>
      </c>
    </row>
    <row r="37" spans="1:15" x14ac:dyDescent="0.2">
      <c r="A37" s="24">
        <v>44229</v>
      </c>
      <c r="B37" s="56"/>
      <c r="C37" s="56"/>
      <c r="D37" s="56">
        <v>-230.4</v>
      </c>
      <c r="E37" s="56"/>
      <c r="F37" s="56"/>
      <c r="G37" s="56"/>
      <c r="H37" s="56"/>
      <c r="I37" s="56"/>
      <c r="J37" s="56"/>
      <c r="K37" s="56"/>
      <c r="L37" s="56">
        <v>-129</v>
      </c>
      <c r="M37" s="56">
        <v>223.3</v>
      </c>
      <c r="N37" s="56">
        <v>109.1</v>
      </c>
      <c r="O37" s="56">
        <v>-26.999999999999972</v>
      </c>
    </row>
    <row r="38" spans="1:15" x14ac:dyDescent="0.2">
      <c r="A38" s="24">
        <v>44231</v>
      </c>
      <c r="B38" s="56"/>
      <c r="C38" s="56">
        <v>445.6</v>
      </c>
      <c r="D38" s="56"/>
      <c r="E38" s="56"/>
      <c r="F38" s="56"/>
      <c r="G38" s="56"/>
      <c r="H38" s="56"/>
      <c r="I38" s="56"/>
      <c r="J38" s="56"/>
      <c r="K38" s="56"/>
      <c r="L38" s="56">
        <v>-129.5</v>
      </c>
      <c r="M38" s="56"/>
      <c r="N38" s="56">
        <v>-110.2</v>
      </c>
      <c r="O38" s="56">
        <v>205.90000000000003</v>
      </c>
    </row>
    <row r="39" spans="1:15" x14ac:dyDescent="0.2">
      <c r="A39" s="24">
        <v>44235</v>
      </c>
      <c r="B39" s="56"/>
      <c r="C39" s="56"/>
      <c r="D39" s="56">
        <v>237.4</v>
      </c>
      <c r="E39" s="56"/>
      <c r="F39" s="56"/>
      <c r="G39" s="56"/>
      <c r="H39" s="56"/>
      <c r="I39" s="56"/>
      <c r="J39" s="56"/>
      <c r="K39" s="56"/>
      <c r="L39" s="56">
        <v>-132.69999999999999</v>
      </c>
      <c r="M39" s="56"/>
      <c r="N39" s="56"/>
      <c r="O39" s="56">
        <v>104.70000000000002</v>
      </c>
    </row>
    <row r="40" spans="1:15" x14ac:dyDescent="0.2">
      <c r="A40" s="24">
        <v>44236</v>
      </c>
      <c r="B40" s="56"/>
      <c r="C40" s="56">
        <v>-908.1</v>
      </c>
      <c r="D40" s="56">
        <v>-713.8</v>
      </c>
      <c r="E40" s="56">
        <v>-508.3</v>
      </c>
      <c r="F40" s="56">
        <v>-555.29999999999995</v>
      </c>
      <c r="G40" s="56"/>
      <c r="H40" s="56">
        <v>-397.3</v>
      </c>
      <c r="I40" s="56"/>
      <c r="J40" s="56"/>
      <c r="K40" s="56"/>
      <c r="L40" s="56">
        <v>-401.5</v>
      </c>
      <c r="M40" s="56">
        <v>-796</v>
      </c>
      <c r="N40" s="56">
        <v>-672.7</v>
      </c>
      <c r="O40" s="56">
        <v>-4953</v>
      </c>
    </row>
    <row r="41" spans="1:15" x14ac:dyDescent="0.2">
      <c r="A41" s="24">
        <v>44245</v>
      </c>
      <c r="B41" s="56"/>
      <c r="C41" s="56"/>
      <c r="D41" s="56">
        <v>-238.4</v>
      </c>
      <c r="E41" s="56">
        <v>267.7</v>
      </c>
      <c r="F41" s="56"/>
      <c r="G41" s="56"/>
      <c r="H41" s="56"/>
      <c r="I41" s="56"/>
      <c r="J41" s="56">
        <v>272.3</v>
      </c>
      <c r="K41" s="56"/>
      <c r="L41" s="56"/>
      <c r="M41" s="56">
        <v>-113.6</v>
      </c>
      <c r="N41" s="56"/>
      <c r="O41" s="56">
        <v>188.00000000000003</v>
      </c>
    </row>
    <row r="42" spans="1:15" x14ac:dyDescent="0.2">
      <c r="A42" s="24">
        <v>44246</v>
      </c>
      <c r="B42" s="56"/>
      <c r="C42" s="56"/>
      <c r="D42" s="56"/>
      <c r="E42" s="56"/>
      <c r="F42" s="56">
        <v>286.7</v>
      </c>
      <c r="G42" s="56"/>
      <c r="H42" s="56"/>
      <c r="I42" s="56"/>
      <c r="J42" s="56">
        <v>-265.60000000000002</v>
      </c>
      <c r="K42" s="56"/>
      <c r="L42" s="56">
        <v>271.7</v>
      </c>
      <c r="M42" s="56">
        <v>-113</v>
      </c>
      <c r="N42" s="56"/>
      <c r="O42" s="56">
        <v>179.79999999999995</v>
      </c>
    </row>
    <row r="43" spans="1:15" x14ac:dyDescent="0.2">
      <c r="A43" s="24">
        <v>44249</v>
      </c>
      <c r="B43" s="56">
        <v>-14586.79</v>
      </c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>
        <v>-14586.79</v>
      </c>
    </row>
    <row r="44" spans="1:15" x14ac:dyDescent="0.2">
      <c r="A44" s="24">
        <v>44250</v>
      </c>
      <c r="B44" s="56"/>
      <c r="C44" s="56"/>
      <c r="D44" s="56"/>
      <c r="E44" s="56"/>
      <c r="F44" s="56"/>
      <c r="G44" s="56"/>
      <c r="H44" s="56">
        <v>-385.1</v>
      </c>
      <c r="I44" s="56"/>
      <c r="J44" s="56">
        <v>-254</v>
      </c>
      <c r="K44" s="56"/>
      <c r="L44" s="56">
        <v>136.19999999999999</v>
      </c>
      <c r="M44" s="56">
        <v>113.2</v>
      </c>
      <c r="N44" s="56">
        <v>340.7</v>
      </c>
      <c r="O44" s="56">
        <v>-49.000000000000057</v>
      </c>
    </row>
    <row r="45" spans="1:15" x14ac:dyDescent="0.2">
      <c r="A45" s="24">
        <v>44251</v>
      </c>
      <c r="B45" s="56"/>
      <c r="C45" s="56">
        <v>-439.9</v>
      </c>
      <c r="D45" s="56"/>
      <c r="E45" s="56">
        <v>-254.4</v>
      </c>
      <c r="F45" s="56"/>
      <c r="G45" s="56"/>
      <c r="H45" s="56">
        <v>-189.1</v>
      </c>
      <c r="I45" s="56"/>
      <c r="J45" s="56"/>
      <c r="K45" s="56"/>
      <c r="L45" s="56">
        <v>135.69999999999999</v>
      </c>
      <c r="M45" s="56">
        <v>113.2</v>
      </c>
      <c r="N45" s="56">
        <v>114.6</v>
      </c>
      <c r="O45" s="56">
        <v>-519.9</v>
      </c>
    </row>
    <row r="46" spans="1:15" x14ac:dyDescent="0.2">
      <c r="A46" s="24">
        <v>44252</v>
      </c>
      <c r="B46" s="56"/>
      <c r="C46" s="56"/>
      <c r="D46" s="56">
        <v>238.4</v>
      </c>
      <c r="E46" s="56">
        <v>-3480.75</v>
      </c>
      <c r="F46" s="56">
        <v>-3392.74</v>
      </c>
      <c r="G46" s="56"/>
      <c r="H46" s="56">
        <v>-3538.15</v>
      </c>
      <c r="I46" s="56"/>
      <c r="J46" s="56">
        <v>10039.9</v>
      </c>
      <c r="K46" s="56"/>
      <c r="L46" s="56"/>
      <c r="M46" s="56">
        <v>114.2</v>
      </c>
      <c r="N46" s="56">
        <v>347</v>
      </c>
      <c r="O46" s="56">
        <v>327.85999999999984</v>
      </c>
    </row>
    <row r="47" spans="1:15" x14ac:dyDescent="0.2">
      <c r="A47" s="24">
        <v>44253</v>
      </c>
      <c r="B47" s="56"/>
      <c r="C47" s="56"/>
      <c r="D47" s="56"/>
      <c r="E47" s="56"/>
      <c r="F47" s="56"/>
      <c r="G47" s="56">
        <v>-16404.34</v>
      </c>
      <c r="H47" s="56">
        <v>15909.09</v>
      </c>
      <c r="I47" s="56"/>
      <c r="J47" s="56"/>
      <c r="K47" s="56"/>
      <c r="L47" s="56"/>
      <c r="M47" s="56">
        <v>112.7</v>
      </c>
      <c r="N47" s="56"/>
      <c r="O47" s="56">
        <v>-382.55</v>
      </c>
    </row>
    <row r="48" spans="1:15" x14ac:dyDescent="0.2">
      <c r="A48" s="24">
        <v>44256</v>
      </c>
      <c r="B48" s="56"/>
      <c r="C48" s="56"/>
      <c r="D48" s="56"/>
      <c r="E48" s="56"/>
      <c r="F48" s="56"/>
      <c r="G48" s="56">
        <v>-343.1</v>
      </c>
      <c r="H48" s="56">
        <v>354.5</v>
      </c>
      <c r="I48" s="56"/>
      <c r="J48" s="56"/>
      <c r="K48" s="56"/>
      <c r="L48" s="56"/>
      <c r="M48" s="56"/>
      <c r="N48" s="56"/>
      <c r="O48" s="56">
        <v>11.399999999999977</v>
      </c>
    </row>
    <row r="49" spans="1:15" x14ac:dyDescent="0.2">
      <c r="A49" s="24">
        <v>44257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>
        <v>-132.19999999999999</v>
      </c>
      <c r="M49" s="56"/>
      <c r="N49" s="56">
        <v>114.7</v>
      </c>
      <c r="O49" s="56">
        <v>-17.499999999999986</v>
      </c>
    </row>
    <row r="50" spans="1:15" x14ac:dyDescent="0.2">
      <c r="A50" s="24">
        <v>44263</v>
      </c>
      <c r="B50" s="56">
        <v>892.92</v>
      </c>
      <c r="C50" s="56">
        <v>-2937.49</v>
      </c>
      <c r="D50" s="56">
        <v>-2108.91</v>
      </c>
      <c r="E50" s="56">
        <v>-2335.23</v>
      </c>
      <c r="F50" s="56">
        <v>-1908.39</v>
      </c>
      <c r="G50" s="56">
        <v>-2576.2600000000002</v>
      </c>
      <c r="H50" s="56"/>
      <c r="I50" s="56"/>
      <c r="J50" s="56"/>
      <c r="K50" s="56"/>
      <c r="L50" s="56">
        <v>5846.02</v>
      </c>
      <c r="M50" s="56">
        <v>2819.72</v>
      </c>
      <c r="N50" s="56">
        <v>2738.13</v>
      </c>
      <c r="O50" s="56">
        <v>430.51000000000158</v>
      </c>
    </row>
    <row r="51" spans="1:15" x14ac:dyDescent="0.2">
      <c r="A51" s="24">
        <v>44264</v>
      </c>
      <c r="B51" s="56"/>
      <c r="C51" s="56">
        <v>-416.6</v>
      </c>
      <c r="D51" s="56">
        <v>236.7</v>
      </c>
      <c r="E51" s="56">
        <v>-458.3</v>
      </c>
      <c r="F51" s="56"/>
      <c r="G51" s="56">
        <v>-625.70000000000005</v>
      </c>
      <c r="H51" s="56"/>
      <c r="I51" s="56"/>
      <c r="J51" s="56"/>
      <c r="K51" s="56"/>
      <c r="L51" s="56">
        <v>128.19999999999999</v>
      </c>
      <c r="M51" s="56">
        <v>464.7</v>
      </c>
      <c r="N51" s="56">
        <v>349.1</v>
      </c>
      <c r="O51" s="56">
        <v>-321.89999999999998</v>
      </c>
    </row>
    <row r="52" spans="1:15" x14ac:dyDescent="0.2">
      <c r="A52" s="24">
        <v>44265</v>
      </c>
      <c r="B52" s="56"/>
      <c r="C52" s="56"/>
      <c r="D52" s="56"/>
      <c r="E52" s="56">
        <v>-227.6</v>
      </c>
      <c r="F52" s="56"/>
      <c r="G52" s="56">
        <v>-156</v>
      </c>
      <c r="H52" s="56"/>
      <c r="I52" s="56"/>
      <c r="J52" s="56"/>
      <c r="K52" s="56">
        <v>-28082.71</v>
      </c>
      <c r="L52" s="56">
        <v>18788.32</v>
      </c>
      <c r="M52" s="56">
        <v>-9283.43</v>
      </c>
      <c r="N52" s="56">
        <v>18894.11</v>
      </c>
      <c r="O52" s="56">
        <v>-67.309999999997672</v>
      </c>
    </row>
    <row r="53" spans="1:15" x14ac:dyDescent="0.2">
      <c r="A53" s="24">
        <v>44267</v>
      </c>
      <c r="B53" s="56">
        <v>205.46</v>
      </c>
      <c r="C53" s="56">
        <v>433</v>
      </c>
      <c r="D53" s="56"/>
      <c r="E53" s="56"/>
      <c r="F53" s="56"/>
      <c r="G53" s="56"/>
      <c r="H53" s="56"/>
      <c r="I53" s="56"/>
      <c r="J53" s="56"/>
      <c r="K53" s="56"/>
      <c r="L53" s="56"/>
      <c r="M53" s="56">
        <v>-117.8</v>
      </c>
      <c r="N53" s="56"/>
      <c r="O53" s="56">
        <v>520.66000000000008</v>
      </c>
    </row>
    <row r="54" spans="1:15" x14ac:dyDescent="0.2">
      <c r="A54" s="24">
        <v>44269</v>
      </c>
      <c r="B54" s="56">
        <v>18916.599999999999</v>
      </c>
      <c r="C54" s="56">
        <v>28538.399999999998</v>
      </c>
      <c r="D54" s="56">
        <v>28473.399999999998</v>
      </c>
      <c r="E54" s="56">
        <v>19147</v>
      </c>
      <c r="F54" s="56">
        <v>18747.600000000002</v>
      </c>
      <c r="G54" s="56">
        <v>19212</v>
      </c>
      <c r="H54" s="56"/>
      <c r="I54" s="56"/>
      <c r="J54" s="56"/>
      <c r="K54" s="56">
        <v>28647.4</v>
      </c>
      <c r="L54" s="56"/>
      <c r="M54" s="56">
        <v>28389.8</v>
      </c>
      <c r="N54" s="56"/>
      <c r="O54" s="56">
        <v>190072.19999999998</v>
      </c>
    </row>
    <row r="55" spans="1:15" x14ac:dyDescent="0.2">
      <c r="A55" s="24" t="s">
        <v>59</v>
      </c>
      <c r="B55" s="56">
        <v>549.40999999999622</v>
      </c>
      <c r="C55" s="56">
        <v>6068.5700000000033</v>
      </c>
      <c r="D55" s="56">
        <v>3704.5799999999981</v>
      </c>
      <c r="E55" s="56">
        <v>724.60000000000582</v>
      </c>
      <c r="F55" s="56">
        <v>1080.0100000000057</v>
      </c>
      <c r="G55" s="56">
        <v>-893.39999999999782</v>
      </c>
      <c r="H55" s="56">
        <v>2561.0899999999983</v>
      </c>
      <c r="I55" s="56">
        <v>2139.2700000000004</v>
      </c>
      <c r="J55" s="56">
        <v>-48.840000000003783</v>
      </c>
      <c r="K55" s="56">
        <v>564.69000000000233</v>
      </c>
      <c r="L55" s="56">
        <v>4200.7500000000036</v>
      </c>
      <c r="M55" s="56">
        <v>2415.9400000000023</v>
      </c>
      <c r="N55" s="56">
        <v>2706.2099999999973</v>
      </c>
      <c r="O55" s="56">
        <v>25772.879999999946</v>
      </c>
    </row>
    <row r="57" spans="1:15" x14ac:dyDescent="0.2">
      <c r="A57" s="3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195"/>
  <sheetViews>
    <sheetView workbookViewId="0">
      <pane ySplit="9" topLeftCell="A175" activePane="bottomLeft" state="frozen"/>
      <selection pane="bottomLeft" activeCell="A198" sqref="A198"/>
    </sheetView>
  </sheetViews>
  <sheetFormatPr defaultRowHeight="14.25" x14ac:dyDescent="0.2"/>
  <cols>
    <col min="1" max="1" width="14" style="24" bestFit="1" customWidth="1"/>
    <col min="2" max="2" width="14" style="7" bestFit="1" customWidth="1"/>
    <col min="3" max="3" width="15.125" style="10" bestFit="1" customWidth="1"/>
    <col min="4" max="4" width="11.125" style="12" bestFit="1" customWidth="1"/>
    <col min="5" max="5" width="15.125" style="4" bestFit="1" customWidth="1"/>
    <col min="6" max="6" width="15.125" style="12" bestFit="1" customWidth="1"/>
    <col min="7" max="7" width="15.125" style="10" customWidth="1"/>
    <col min="8" max="8" width="20.25" bestFit="1" customWidth="1"/>
  </cols>
  <sheetData>
    <row r="1" spans="1:8" s="5" customFormat="1" x14ac:dyDescent="0.2">
      <c r="A1" s="40" t="s">
        <v>16</v>
      </c>
      <c r="B1" s="8" t="s">
        <v>17</v>
      </c>
      <c r="C1" s="9" t="s">
        <v>18</v>
      </c>
      <c r="D1" s="11" t="s">
        <v>19</v>
      </c>
      <c r="E1" s="6" t="s">
        <v>20</v>
      </c>
      <c r="F1" s="11" t="s">
        <v>21</v>
      </c>
      <c r="G1" s="9" t="s">
        <v>32</v>
      </c>
      <c r="H1" s="41" t="s">
        <v>114</v>
      </c>
    </row>
    <row r="2" spans="1:8" s="5" customFormat="1" x14ac:dyDescent="0.2">
      <c r="A2" s="58">
        <f ca="1">TODAY()</f>
        <v>44269</v>
      </c>
      <c r="B2" s="59" t="s">
        <v>118</v>
      </c>
      <c r="C2" s="60" t="s">
        <v>24</v>
      </c>
      <c r="D2" s="61"/>
      <c r="E2" s="62"/>
      <c r="F2" s="61"/>
      <c r="G2" s="60">
        <f ca="1">VLOOKUP(表2[[#This Row],[证券代码]],再平衡!B:I,8,0)</f>
        <v>28538.399999999998</v>
      </c>
      <c r="H2" s="27"/>
    </row>
    <row r="3" spans="1:8" s="5" customFormat="1" x14ac:dyDescent="0.2">
      <c r="A3" s="58">
        <f t="shared" ref="A3:A9" ca="1" si="0">TODAY()</f>
        <v>44269</v>
      </c>
      <c r="B3" s="59" t="s">
        <v>119</v>
      </c>
      <c r="C3" s="63" t="s">
        <v>22</v>
      </c>
      <c r="D3" s="64"/>
      <c r="E3" s="65"/>
      <c r="F3" s="64"/>
      <c r="G3" s="60">
        <f ca="1">VLOOKUP(表2[[#This Row],[证券代码]],再平衡!B:I,8,0)</f>
        <v>28473.399999999998</v>
      </c>
      <c r="H3" s="27"/>
    </row>
    <row r="4" spans="1:8" s="5" customFormat="1" x14ac:dyDescent="0.2">
      <c r="A4" s="58">
        <f t="shared" ca="1" si="0"/>
        <v>44269</v>
      </c>
      <c r="B4" s="59" t="s">
        <v>120</v>
      </c>
      <c r="C4" s="63" t="s">
        <v>25</v>
      </c>
      <c r="D4" s="64"/>
      <c r="E4" s="65"/>
      <c r="F4" s="64"/>
      <c r="G4" s="60">
        <f ca="1">VLOOKUP(表2[[#This Row],[证券代码]],再平衡!B:I,8,0)</f>
        <v>18747.600000000002</v>
      </c>
      <c r="H4" s="27"/>
    </row>
    <row r="5" spans="1:8" s="5" customFormat="1" x14ac:dyDescent="0.2">
      <c r="A5" s="58">
        <f t="shared" ca="1" si="0"/>
        <v>44269</v>
      </c>
      <c r="B5" s="59" t="s">
        <v>121</v>
      </c>
      <c r="C5" s="63" t="s">
        <v>40</v>
      </c>
      <c r="D5" s="64"/>
      <c r="E5" s="65"/>
      <c r="F5" s="64"/>
      <c r="G5" s="60">
        <f ca="1">VLOOKUP(表2[[#This Row],[证券代码]],再平衡!B:I,8,0)</f>
        <v>19212</v>
      </c>
      <c r="H5" s="27"/>
    </row>
    <row r="6" spans="1:8" s="5" customFormat="1" x14ac:dyDescent="0.2">
      <c r="A6" s="58">
        <f t="shared" ca="1" si="0"/>
        <v>44269</v>
      </c>
      <c r="B6" s="59" t="s">
        <v>122</v>
      </c>
      <c r="C6" s="63" t="s">
        <v>30</v>
      </c>
      <c r="D6" s="64"/>
      <c r="E6" s="65"/>
      <c r="F6" s="64"/>
      <c r="G6" s="60">
        <f ca="1">VLOOKUP(表2[[#This Row],[证券代码]],再平衡!B:I,8,0)</f>
        <v>19147</v>
      </c>
      <c r="H6" s="27"/>
    </row>
    <row r="7" spans="1:8" s="5" customFormat="1" x14ac:dyDescent="0.2">
      <c r="A7" s="58">
        <f t="shared" ca="1" si="0"/>
        <v>44269</v>
      </c>
      <c r="B7" s="59" t="s">
        <v>123</v>
      </c>
      <c r="C7" s="63" t="s">
        <v>115</v>
      </c>
      <c r="D7" s="64"/>
      <c r="E7" s="65"/>
      <c r="F7" s="64"/>
      <c r="G7" s="60">
        <f ca="1">VLOOKUP(表2[[#This Row],[证券代码]],再平衡!B:I,8,0)</f>
        <v>28647.4</v>
      </c>
      <c r="H7" s="27"/>
    </row>
    <row r="8" spans="1:8" s="5" customFormat="1" x14ac:dyDescent="0.2">
      <c r="A8" s="58">
        <f t="shared" ca="1" si="0"/>
        <v>44269</v>
      </c>
      <c r="B8" s="59" t="s">
        <v>124</v>
      </c>
      <c r="C8" s="63" t="s">
        <v>23</v>
      </c>
      <c r="D8" s="64"/>
      <c r="E8" s="65"/>
      <c r="F8" s="64"/>
      <c r="G8" s="60">
        <f ca="1">VLOOKUP(表2[[#This Row],[证券代码]],再平衡!B:I,8,0)</f>
        <v>28389.8</v>
      </c>
      <c r="H8" s="27"/>
    </row>
    <row r="9" spans="1:8" s="5" customFormat="1" x14ac:dyDescent="0.2">
      <c r="A9" s="58">
        <f t="shared" ca="1" si="0"/>
        <v>44269</v>
      </c>
      <c r="B9" s="59" t="s">
        <v>117</v>
      </c>
      <c r="C9" s="59" t="s">
        <v>64</v>
      </c>
      <c r="D9" s="64"/>
      <c r="E9" s="65"/>
      <c r="F9" s="64"/>
      <c r="G9" s="60">
        <f>VLOOKUP(表2[[#This Row],[证券代码]],再平衡!B:I,8,0)</f>
        <v>18916.599999999999</v>
      </c>
      <c r="H9" s="27"/>
    </row>
    <row r="10" spans="1:8" x14ac:dyDescent="0.2">
      <c r="A10" s="24">
        <v>43689</v>
      </c>
      <c r="B10" s="7" t="s">
        <v>119</v>
      </c>
      <c r="C10" s="10" t="s">
        <v>22</v>
      </c>
      <c r="D10" s="12" t="s">
        <v>36</v>
      </c>
      <c r="E10" s="4">
        <v>5200</v>
      </c>
      <c r="F10" s="12">
        <v>1.93</v>
      </c>
      <c r="G10" s="10">
        <v>-10042.02</v>
      </c>
      <c r="H10" s="27"/>
    </row>
    <row r="11" spans="1:8" x14ac:dyDescent="0.2">
      <c r="A11" s="24">
        <v>43689</v>
      </c>
      <c r="B11" s="7" t="s">
        <v>124</v>
      </c>
      <c r="C11" s="10" t="s">
        <v>23</v>
      </c>
      <c r="D11" s="12" t="s">
        <v>36</v>
      </c>
      <c r="E11" s="4">
        <v>9900</v>
      </c>
      <c r="F11" s="12">
        <v>1.0069999999999999</v>
      </c>
      <c r="G11" s="10">
        <v>-9975.2800000000007</v>
      </c>
      <c r="H11" s="27"/>
    </row>
    <row r="12" spans="1:8" x14ac:dyDescent="0.2">
      <c r="A12" s="24">
        <v>43689</v>
      </c>
      <c r="B12" s="7" t="s">
        <v>118</v>
      </c>
      <c r="C12" s="10" t="s">
        <v>24</v>
      </c>
      <c r="D12" s="12" t="s">
        <v>36</v>
      </c>
      <c r="E12" s="4">
        <v>3500</v>
      </c>
      <c r="F12" s="12">
        <v>2.8149999999999999</v>
      </c>
      <c r="G12" s="10">
        <v>-9858.41</v>
      </c>
      <c r="H12" s="27"/>
    </row>
    <row r="13" spans="1:8" x14ac:dyDescent="0.2">
      <c r="A13" s="24">
        <v>43689</v>
      </c>
      <c r="B13" s="7" t="s">
        <v>120</v>
      </c>
      <c r="C13" s="10" t="s">
        <v>25</v>
      </c>
      <c r="D13" s="12" t="s">
        <v>36</v>
      </c>
      <c r="E13" s="4">
        <v>2000</v>
      </c>
      <c r="F13" s="12">
        <v>2.4769999999999999</v>
      </c>
      <c r="G13" s="10">
        <v>-4959</v>
      </c>
      <c r="H13" s="27"/>
    </row>
    <row r="14" spans="1:8" x14ac:dyDescent="0.2">
      <c r="A14" s="24">
        <v>43689</v>
      </c>
      <c r="B14" s="7" t="s">
        <v>125</v>
      </c>
      <c r="C14" s="10" t="s">
        <v>26</v>
      </c>
      <c r="D14" s="12" t="s">
        <v>36</v>
      </c>
      <c r="E14" s="4">
        <v>1400</v>
      </c>
      <c r="F14" s="12">
        <v>3.5339999999999998</v>
      </c>
      <c r="G14" s="10">
        <v>-4952.6000000000004</v>
      </c>
      <c r="H14" s="27"/>
    </row>
    <row r="15" spans="1:8" x14ac:dyDescent="0.2">
      <c r="A15" s="24">
        <v>43689</v>
      </c>
      <c r="B15" s="7" t="s">
        <v>126</v>
      </c>
      <c r="C15" s="10" t="s">
        <v>27</v>
      </c>
      <c r="D15" s="12" t="s">
        <v>36</v>
      </c>
      <c r="E15" s="4">
        <v>9900</v>
      </c>
      <c r="F15" s="12">
        <v>1.006</v>
      </c>
      <c r="G15" s="10">
        <v>-9965.3799999999992</v>
      </c>
      <c r="H15" s="27"/>
    </row>
    <row r="16" spans="1:8" x14ac:dyDescent="0.2">
      <c r="A16" s="24">
        <v>43886</v>
      </c>
      <c r="B16" s="7" t="s">
        <v>125</v>
      </c>
      <c r="C16" s="10" t="s">
        <v>26</v>
      </c>
      <c r="D16" s="12" t="s">
        <v>36</v>
      </c>
      <c r="E16" s="4">
        <v>800</v>
      </c>
      <c r="F16" s="12">
        <v>3.895</v>
      </c>
      <c r="G16" s="10">
        <v>-3121</v>
      </c>
      <c r="H16" s="27"/>
    </row>
    <row r="17" spans="1:8" x14ac:dyDescent="0.2">
      <c r="A17" s="24">
        <v>43886</v>
      </c>
      <c r="B17" s="7" t="s">
        <v>126</v>
      </c>
      <c r="C17" s="10" t="s">
        <v>27</v>
      </c>
      <c r="D17" s="12" t="s">
        <v>36</v>
      </c>
      <c r="E17" s="4">
        <v>6200</v>
      </c>
      <c r="F17" s="12">
        <v>1.0529999999999999</v>
      </c>
      <c r="G17" s="10">
        <v>-6533.6</v>
      </c>
      <c r="H17" s="27"/>
    </row>
    <row r="18" spans="1:8" x14ac:dyDescent="0.2">
      <c r="A18" s="24">
        <v>43886</v>
      </c>
      <c r="B18" s="7" t="s">
        <v>124</v>
      </c>
      <c r="C18" s="10" t="s">
        <v>23</v>
      </c>
      <c r="D18" s="12" t="s">
        <v>36</v>
      </c>
      <c r="E18" s="4">
        <v>5900</v>
      </c>
      <c r="F18" s="12">
        <v>1.0820000000000001</v>
      </c>
      <c r="G18" s="10">
        <v>-6388.8</v>
      </c>
      <c r="H18" s="27"/>
    </row>
    <row r="19" spans="1:8" x14ac:dyDescent="0.2">
      <c r="A19" s="24">
        <v>43886</v>
      </c>
      <c r="B19" s="7" t="s">
        <v>118</v>
      </c>
      <c r="C19" s="10" t="s">
        <v>24</v>
      </c>
      <c r="D19" s="12" t="s">
        <v>36</v>
      </c>
      <c r="E19" s="4">
        <v>100</v>
      </c>
      <c r="F19" s="12">
        <v>3.528</v>
      </c>
      <c r="G19" s="10">
        <v>-357.8</v>
      </c>
      <c r="H19" s="27"/>
    </row>
    <row r="20" spans="1:8" x14ac:dyDescent="0.2">
      <c r="A20" s="24">
        <v>43886</v>
      </c>
      <c r="B20" s="7" t="s">
        <v>119</v>
      </c>
      <c r="C20" s="10" t="s">
        <v>22</v>
      </c>
      <c r="D20" s="12" t="s">
        <v>36</v>
      </c>
      <c r="E20" s="4">
        <v>800</v>
      </c>
      <c r="F20" s="12">
        <v>2.14</v>
      </c>
      <c r="G20" s="10">
        <v>-1717</v>
      </c>
      <c r="H20" s="27"/>
    </row>
    <row r="21" spans="1:8" x14ac:dyDescent="0.2">
      <c r="A21" s="24">
        <v>43886</v>
      </c>
      <c r="B21" s="7" t="s">
        <v>120</v>
      </c>
      <c r="C21" s="10" t="s">
        <v>25</v>
      </c>
      <c r="D21" s="12" t="s">
        <v>36</v>
      </c>
      <c r="E21" s="4">
        <v>1300</v>
      </c>
      <c r="F21" s="12">
        <v>2.597</v>
      </c>
      <c r="G21" s="10">
        <v>-3381.1</v>
      </c>
      <c r="H21" s="27"/>
    </row>
    <row r="22" spans="1:8" x14ac:dyDescent="0.2">
      <c r="A22" s="24">
        <v>43886</v>
      </c>
      <c r="B22" s="7" t="s">
        <v>127</v>
      </c>
      <c r="C22" s="10" t="s">
        <v>28</v>
      </c>
      <c r="D22" s="12" t="s">
        <v>36</v>
      </c>
      <c r="E22" s="4">
        <v>6400</v>
      </c>
      <c r="F22" s="12">
        <v>1.329</v>
      </c>
      <c r="G22" s="10">
        <v>-8510.7000000000007</v>
      </c>
      <c r="H22" s="27"/>
    </row>
    <row r="23" spans="1:8" x14ac:dyDescent="0.2">
      <c r="A23" s="24">
        <v>44047</v>
      </c>
      <c r="B23" s="7" t="s">
        <v>125</v>
      </c>
      <c r="C23" s="10" t="s">
        <v>26</v>
      </c>
      <c r="D23" s="12" t="s">
        <v>37</v>
      </c>
      <c r="E23" s="4">
        <v>2200</v>
      </c>
      <c r="F23" s="12">
        <v>4.6449999999999996</v>
      </c>
      <c r="G23" s="10">
        <v>10212.870000000001</v>
      </c>
      <c r="H23" s="27"/>
    </row>
    <row r="24" spans="1:8" x14ac:dyDescent="0.2">
      <c r="A24" s="24">
        <v>44047</v>
      </c>
      <c r="B24" s="7" t="s">
        <v>126</v>
      </c>
      <c r="C24" s="18" t="s">
        <v>27</v>
      </c>
      <c r="D24" s="19" t="s">
        <v>36</v>
      </c>
      <c r="E24" s="20">
        <v>1300</v>
      </c>
      <c r="F24" s="19">
        <v>1.091</v>
      </c>
      <c r="G24" s="18">
        <v>-1423.3</v>
      </c>
      <c r="H24" s="27"/>
    </row>
    <row r="25" spans="1:8" x14ac:dyDescent="0.2">
      <c r="A25" s="24">
        <v>44047</v>
      </c>
      <c r="B25" s="7" t="s">
        <v>118</v>
      </c>
      <c r="C25" s="21" t="s">
        <v>24</v>
      </c>
      <c r="D25" s="22" t="s">
        <v>36</v>
      </c>
      <c r="E25" s="23">
        <v>1200</v>
      </c>
      <c r="F25" s="22">
        <v>3.96</v>
      </c>
      <c r="G25" s="21">
        <v>-4757</v>
      </c>
      <c r="H25" s="27"/>
    </row>
    <row r="26" spans="1:8" x14ac:dyDescent="0.2">
      <c r="A26" s="24">
        <v>44047</v>
      </c>
      <c r="B26" s="7" t="s">
        <v>119</v>
      </c>
      <c r="C26" s="21" t="s">
        <v>22</v>
      </c>
      <c r="D26" s="22" t="s">
        <v>36</v>
      </c>
      <c r="E26" s="23">
        <v>2800</v>
      </c>
      <c r="F26" s="22">
        <v>2.1520000000000001</v>
      </c>
      <c r="G26" s="21">
        <v>-6030.6</v>
      </c>
      <c r="H26" s="27"/>
    </row>
    <row r="27" spans="1:8" x14ac:dyDescent="0.2">
      <c r="A27" s="24">
        <v>44047</v>
      </c>
      <c r="B27" s="7" t="s">
        <v>124</v>
      </c>
      <c r="C27" s="21" t="s">
        <v>23</v>
      </c>
      <c r="D27" s="22" t="s">
        <v>37</v>
      </c>
      <c r="E27" s="23">
        <v>1500</v>
      </c>
      <c r="F27" s="22">
        <v>1.101</v>
      </c>
      <c r="G27" s="21">
        <v>1646.5</v>
      </c>
      <c r="H27" s="27"/>
    </row>
    <row r="28" spans="1:8" x14ac:dyDescent="0.2">
      <c r="A28" s="24">
        <v>44047</v>
      </c>
      <c r="B28" s="7" t="s">
        <v>128</v>
      </c>
      <c r="C28" s="21" t="s">
        <v>29</v>
      </c>
      <c r="D28" s="22" t="s">
        <v>36</v>
      </c>
      <c r="E28" s="23">
        <v>15300</v>
      </c>
      <c r="F28" s="22">
        <v>1.028</v>
      </c>
      <c r="G28" s="21">
        <v>-15737.84</v>
      </c>
      <c r="H28" s="27"/>
    </row>
    <row r="29" spans="1:8" x14ac:dyDescent="0.2">
      <c r="A29" s="24">
        <v>44047</v>
      </c>
      <c r="B29" s="7" t="s">
        <v>120</v>
      </c>
      <c r="C29" s="21" t="s">
        <v>25</v>
      </c>
      <c r="D29" s="22" t="s">
        <v>36</v>
      </c>
      <c r="E29" s="23">
        <v>800</v>
      </c>
      <c r="F29" s="22">
        <v>2.5019999999999998</v>
      </c>
      <c r="G29" s="21">
        <v>-2006.6</v>
      </c>
      <c r="H29" s="27"/>
    </row>
    <row r="30" spans="1:8" x14ac:dyDescent="0.2">
      <c r="A30" s="24">
        <v>44047</v>
      </c>
      <c r="B30" s="7" t="s">
        <v>122</v>
      </c>
      <c r="C30" s="21" t="s">
        <v>30</v>
      </c>
      <c r="D30" s="22" t="s">
        <v>36</v>
      </c>
      <c r="E30" s="23">
        <v>4700</v>
      </c>
      <c r="F30" s="22">
        <v>2.1659999999999999</v>
      </c>
      <c r="G30" s="21">
        <v>-10186.31</v>
      </c>
      <c r="H30" s="27"/>
    </row>
    <row r="31" spans="1:8" x14ac:dyDescent="0.2">
      <c r="A31" s="24">
        <v>44047</v>
      </c>
      <c r="B31" s="7" t="s">
        <v>127</v>
      </c>
      <c r="C31" s="21" t="s">
        <v>28</v>
      </c>
      <c r="D31" s="22" t="s">
        <v>37</v>
      </c>
      <c r="E31" s="23">
        <v>400</v>
      </c>
      <c r="F31" s="22">
        <v>1.681</v>
      </c>
      <c r="G31" s="21">
        <v>667.4</v>
      </c>
      <c r="H31" s="27"/>
    </row>
    <row r="32" spans="1:8" x14ac:dyDescent="0.2">
      <c r="A32" s="24">
        <v>44047</v>
      </c>
      <c r="B32" s="7" t="s">
        <v>129</v>
      </c>
      <c r="C32" s="21" t="s">
        <v>31</v>
      </c>
      <c r="D32" s="22" t="s">
        <v>36</v>
      </c>
      <c r="E32" s="23">
        <v>3000</v>
      </c>
      <c r="F32" s="22">
        <v>2.54</v>
      </c>
      <c r="G32" s="21">
        <v>-7625</v>
      </c>
      <c r="H32" s="27"/>
    </row>
    <row r="33" spans="1:8" x14ac:dyDescent="0.2">
      <c r="A33" s="24">
        <v>44071</v>
      </c>
      <c r="B33" s="7" t="s">
        <v>118</v>
      </c>
      <c r="C33" s="21" t="s">
        <v>24</v>
      </c>
      <c r="D33" s="22" t="s">
        <v>37</v>
      </c>
      <c r="E33" s="23">
        <v>200</v>
      </c>
      <c r="F33" s="22">
        <v>4.6399999999999997</v>
      </c>
      <c r="G33" s="21">
        <v>923</v>
      </c>
      <c r="H33" s="27"/>
    </row>
    <row r="34" spans="1:8" x14ac:dyDescent="0.2">
      <c r="A34" s="24">
        <v>44071</v>
      </c>
      <c r="B34" s="7" t="s">
        <v>129</v>
      </c>
      <c r="C34" s="21" t="s">
        <v>31</v>
      </c>
      <c r="D34" s="22" t="s">
        <v>36</v>
      </c>
      <c r="E34" s="23">
        <v>200</v>
      </c>
      <c r="F34" s="22">
        <v>2.4049999999999998</v>
      </c>
      <c r="G34" s="21">
        <v>-486</v>
      </c>
      <c r="H34" s="27"/>
    </row>
    <row r="35" spans="1:8" x14ac:dyDescent="0.2">
      <c r="A35" s="24">
        <v>44071</v>
      </c>
      <c r="B35" s="7" t="s">
        <v>127</v>
      </c>
      <c r="C35" s="21" t="s">
        <v>28</v>
      </c>
      <c r="D35" s="22" t="s">
        <v>36</v>
      </c>
      <c r="E35" s="23">
        <v>300</v>
      </c>
      <c r="F35" s="22">
        <v>1.609</v>
      </c>
      <c r="G35" s="21">
        <v>-487.7</v>
      </c>
      <c r="H35" s="27"/>
    </row>
    <row r="36" spans="1:8" x14ac:dyDescent="0.2">
      <c r="A36" s="24">
        <v>44074</v>
      </c>
      <c r="B36" s="7" t="s">
        <v>118</v>
      </c>
      <c r="C36" s="21" t="s">
        <v>24</v>
      </c>
      <c r="D36" s="22" t="s">
        <v>37</v>
      </c>
      <c r="E36" s="23">
        <v>200</v>
      </c>
      <c r="F36" s="22">
        <v>4.9450000000000003</v>
      </c>
      <c r="G36" s="21">
        <v>984</v>
      </c>
      <c r="H36" s="27"/>
    </row>
    <row r="37" spans="1:8" x14ac:dyDescent="0.2">
      <c r="A37" s="24">
        <v>44074</v>
      </c>
      <c r="B37" s="7" t="s">
        <v>126</v>
      </c>
      <c r="C37" s="21" t="s">
        <v>27</v>
      </c>
      <c r="D37" s="22" t="s">
        <v>36</v>
      </c>
      <c r="E37" s="23">
        <v>500</v>
      </c>
      <c r="F37" s="22">
        <v>1.1120000000000001</v>
      </c>
      <c r="G37" s="21">
        <v>-561</v>
      </c>
      <c r="H37" s="27"/>
    </row>
    <row r="38" spans="1:8" x14ac:dyDescent="0.2">
      <c r="A38" s="24">
        <v>44074</v>
      </c>
      <c r="B38" s="7" t="s">
        <v>128</v>
      </c>
      <c r="C38" s="21" t="s">
        <v>29</v>
      </c>
      <c r="D38" s="22" t="s">
        <v>36</v>
      </c>
      <c r="E38" s="23">
        <v>500</v>
      </c>
      <c r="F38" s="22">
        <v>1.0489999999999999</v>
      </c>
      <c r="G38" s="21">
        <v>-529.5</v>
      </c>
      <c r="H38" s="27"/>
    </row>
    <row r="39" spans="1:8" x14ac:dyDescent="0.2">
      <c r="A39" s="24">
        <v>44075</v>
      </c>
      <c r="B39" s="7" t="s">
        <v>118</v>
      </c>
      <c r="C39" s="21" t="s">
        <v>24</v>
      </c>
      <c r="D39" s="22" t="s">
        <v>37</v>
      </c>
      <c r="E39" s="23">
        <v>100</v>
      </c>
      <c r="F39" s="22">
        <v>5.234</v>
      </c>
      <c r="G39" s="21">
        <v>518.4</v>
      </c>
      <c r="H39" s="27"/>
    </row>
    <row r="40" spans="1:8" x14ac:dyDescent="0.2">
      <c r="A40" s="24">
        <v>44075</v>
      </c>
      <c r="B40" s="7" t="s">
        <v>124</v>
      </c>
      <c r="C40" s="21" t="s">
        <v>23</v>
      </c>
      <c r="D40" s="22" t="s">
        <v>36</v>
      </c>
      <c r="E40" s="23">
        <v>400</v>
      </c>
      <c r="F40" s="22">
        <v>1.121</v>
      </c>
      <c r="G40" s="21">
        <v>-453.4</v>
      </c>
      <c r="H40" s="27"/>
    </row>
    <row r="41" spans="1:8" x14ac:dyDescent="0.2">
      <c r="A41" s="24">
        <v>44090</v>
      </c>
      <c r="B41" s="7" t="s">
        <v>118</v>
      </c>
      <c r="C41" s="21" t="s">
        <v>24</v>
      </c>
      <c r="D41" s="22" t="s">
        <v>37</v>
      </c>
      <c r="E41" s="23">
        <v>200</v>
      </c>
      <c r="F41" s="22">
        <v>4.9379999999999997</v>
      </c>
      <c r="G41" s="21">
        <v>982.6</v>
      </c>
      <c r="H41" s="27"/>
    </row>
    <row r="42" spans="1:8" x14ac:dyDescent="0.2">
      <c r="A42" s="24">
        <v>44090</v>
      </c>
      <c r="B42" s="7" t="s">
        <v>127</v>
      </c>
      <c r="C42" s="21" t="s">
        <v>28</v>
      </c>
      <c r="D42" s="22" t="s">
        <v>36</v>
      </c>
      <c r="E42" s="23">
        <v>400</v>
      </c>
      <c r="F42" s="22">
        <v>1.55</v>
      </c>
      <c r="G42" s="21">
        <v>-625</v>
      </c>
      <c r="H42" s="27"/>
    </row>
    <row r="43" spans="1:8" x14ac:dyDescent="0.2">
      <c r="A43" s="24">
        <v>44090</v>
      </c>
      <c r="B43" s="7" t="s">
        <v>129</v>
      </c>
      <c r="C43" s="21" t="s">
        <v>31</v>
      </c>
      <c r="D43" s="22" t="s">
        <v>36</v>
      </c>
      <c r="E43" s="23">
        <v>200</v>
      </c>
      <c r="F43" s="22">
        <v>2.2690000000000001</v>
      </c>
      <c r="G43" s="21">
        <v>-458.8</v>
      </c>
      <c r="H43" s="27"/>
    </row>
    <row r="44" spans="1:8" x14ac:dyDescent="0.2">
      <c r="A44" s="24">
        <v>44098</v>
      </c>
      <c r="B44" s="7" t="s">
        <v>126</v>
      </c>
      <c r="C44" s="21" t="s">
        <v>27</v>
      </c>
      <c r="D44" s="22" t="s">
        <v>37</v>
      </c>
      <c r="E44" s="23">
        <v>600</v>
      </c>
      <c r="F44" s="22">
        <v>1.1020000000000001</v>
      </c>
      <c r="G44" s="21">
        <v>656.2</v>
      </c>
      <c r="H44" s="27"/>
    </row>
    <row r="45" spans="1:8" x14ac:dyDescent="0.2">
      <c r="A45" s="24">
        <v>44098</v>
      </c>
      <c r="B45" s="7" t="s">
        <v>120</v>
      </c>
      <c r="C45" s="21" t="s">
        <v>25</v>
      </c>
      <c r="D45" s="22" t="s">
        <v>36</v>
      </c>
      <c r="E45" s="23">
        <v>200</v>
      </c>
      <c r="F45" s="22">
        <v>2.3039999999999998</v>
      </c>
      <c r="G45" s="21">
        <v>-465.8</v>
      </c>
      <c r="H45" s="27"/>
    </row>
    <row r="46" spans="1:8" x14ac:dyDescent="0.2">
      <c r="A46" s="24">
        <v>44126</v>
      </c>
      <c r="B46" s="7" t="s">
        <v>117</v>
      </c>
      <c r="C46" s="21" t="s">
        <v>57</v>
      </c>
      <c r="D46" s="22" t="s">
        <v>54</v>
      </c>
      <c r="E46" s="23"/>
      <c r="F46" s="22"/>
      <c r="G46" s="21">
        <v>-5052.78</v>
      </c>
      <c r="H46" s="27"/>
    </row>
    <row r="47" spans="1:8" x14ac:dyDescent="0.2">
      <c r="A47" s="24">
        <v>44126</v>
      </c>
      <c r="B47" s="7" t="s">
        <v>124</v>
      </c>
      <c r="C47" s="21" t="s">
        <v>23</v>
      </c>
      <c r="D47" s="22" t="s">
        <v>36</v>
      </c>
      <c r="E47" s="23">
        <v>500</v>
      </c>
      <c r="F47" s="22">
        <v>1.0429999999999999</v>
      </c>
      <c r="G47" s="21">
        <v>-526.5</v>
      </c>
      <c r="H47" s="27"/>
    </row>
    <row r="48" spans="1:8" x14ac:dyDescent="0.2">
      <c r="A48" s="24">
        <v>44126</v>
      </c>
      <c r="B48" s="7" t="s">
        <v>118</v>
      </c>
      <c r="C48" s="10" t="s">
        <v>24</v>
      </c>
      <c r="D48" s="12" t="s">
        <v>36</v>
      </c>
      <c r="E48" s="23">
        <v>500</v>
      </c>
      <c r="F48" s="22">
        <v>4.5540000000000003</v>
      </c>
      <c r="G48" s="21">
        <v>-2282</v>
      </c>
      <c r="H48" s="27"/>
    </row>
    <row r="49" spans="1:8" x14ac:dyDescent="0.2">
      <c r="A49" s="24">
        <v>44126</v>
      </c>
      <c r="B49" s="7" t="s">
        <v>120</v>
      </c>
      <c r="C49" s="21" t="s">
        <v>25</v>
      </c>
      <c r="D49" s="22" t="s">
        <v>36</v>
      </c>
      <c r="E49" s="23">
        <v>500</v>
      </c>
      <c r="F49" s="22">
        <v>2.3769999999999998</v>
      </c>
      <c r="G49" s="21">
        <v>-1193.5</v>
      </c>
      <c r="H49" s="27"/>
    </row>
    <row r="50" spans="1:8" x14ac:dyDescent="0.2">
      <c r="A50" s="24">
        <v>44126</v>
      </c>
      <c r="B50" s="7" t="s">
        <v>122</v>
      </c>
      <c r="C50" s="21" t="s">
        <v>30</v>
      </c>
      <c r="D50" s="22" t="s">
        <v>36</v>
      </c>
      <c r="E50" s="23">
        <v>500</v>
      </c>
      <c r="F50" s="22">
        <v>2.1629999999999998</v>
      </c>
      <c r="G50" s="21">
        <v>-1086.5</v>
      </c>
      <c r="H50" s="27"/>
    </row>
    <row r="51" spans="1:8" x14ac:dyDescent="0.2">
      <c r="A51" s="24">
        <v>44126</v>
      </c>
      <c r="B51" s="7" t="s">
        <v>119</v>
      </c>
      <c r="C51" s="21" t="s">
        <v>22</v>
      </c>
      <c r="D51" s="22" t="s">
        <v>36</v>
      </c>
      <c r="E51" s="23">
        <v>1000</v>
      </c>
      <c r="F51" s="22">
        <v>2.1539999999999999</v>
      </c>
      <c r="G51" s="21">
        <v>-2159</v>
      </c>
      <c r="H51" s="27"/>
    </row>
    <row r="52" spans="1:8" x14ac:dyDescent="0.2">
      <c r="A52" s="24">
        <v>44126</v>
      </c>
      <c r="B52" s="7" t="s">
        <v>126</v>
      </c>
      <c r="C52" s="21" t="s">
        <v>27</v>
      </c>
      <c r="D52" s="22" t="s">
        <v>36</v>
      </c>
      <c r="E52" s="23">
        <v>1900</v>
      </c>
      <c r="F52" s="22">
        <v>1.1060000000000001</v>
      </c>
      <c r="G52" s="21">
        <v>-2106.4</v>
      </c>
      <c r="H52" s="27"/>
    </row>
    <row r="53" spans="1:8" x14ac:dyDescent="0.2">
      <c r="A53" s="24">
        <v>44126</v>
      </c>
      <c r="B53" s="7" t="s">
        <v>124</v>
      </c>
      <c r="C53" s="21" t="s">
        <v>23</v>
      </c>
      <c r="D53" s="22" t="s">
        <v>36</v>
      </c>
      <c r="E53" s="23">
        <v>1800</v>
      </c>
      <c r="F53" s="22">
        <v>1.044</v>
      </c>
      <c r="G53" s="21">
        <v>-1884.2</v>
      </c>
      <c r="H53" s="27"/>
    </row>
    <row r="54" spans="1:8" x14ac:dyDescent="0.2">
      <c r="A54" s="24">
        <v>44126</v>
      </c>
      <c r="B54" s="7" t="s">
        <v>128</v>
      </c>
      <c r="C54" s="21" t="s">
        <v>29</v>
      </c>
      <c r="D54" s="22" t="s">
        <v>36</v>
      </c>
      <c r="E54" s="23">
        <v>2200</v>
      </c>
      <c r="F54" s="22">
        <v>0.98299999999999998</v>
      </c>
      <c r="G54" s="21">
        <v>-2167.6</v>
      </c>
      <c r="H54" s="27"/>
    </row>
    <row r="55" spans="1:8" x14ac:dyDescent="0.2">
      <c r="A55" s="24">
        <v>44126</v>
      </c>
      <c r="B55" s="7" t="s">
        <v>127</v>
      </c>
      <c r="C55" s="21" t="s">
        <v>28</v>
      </c>
      <c r="D55" s="22" t="s">
        <v>37</v>
      </c>
      <c r="E55" s="23">
        <v>300</v>
      </c>
      <c r="F55" s="22">
        <v>1.591</v>
      </c>
      <c r="G55" s="21">
        <v>472.3</v>
      </c>
      <c r="H55" s="27"/>
    </row>
    <row r="56" spans="1:8" x14ac:dyDescent="0.2">
      <c r="A56" s="24">
        <v>44126</v>
      </c>
      <c r="B56" s="7" t="s">
        <v>129</v>
      </c>
      <c r="C56" s="10" t="s">
        <v>31</v>
      </c>
      <c r="D56" s="12" t="s">
        <v>36</v>
      </c>
      <c r="E56" s="23">
        <v>300</v>
      </c>
      <c r="F56" s="22">
        <v>2.294</v>
      </c>
      <c r="G56" s="21">
        <v>-693.2</v>
      </c>
      <c r="H56" s="27"/>
    </row>
    <row r="57" spans="1:8" x14ac:dyDescent="0.2">
      <c r="A57" s="24">
        <v>44126</v>
      </c>
      <c r="B57" s="7" t="s">
        <v>127</v>
      </c>
      <c r="C57" s="21" t="s">
        <v>28</v>
      </c>
      <c r="D57" s="22" t="s">
        <v>36</v>
      </c>
      <c r="E57" s="23">
        <v>700</v>
      </c>
      <c r="F57" s="22">
        <v>1.605</v>
      </c>
      <c r="G57" s="21">
        <v>-1128.5</v>
      </c>
      <c r="H57" s="27"/>
    </row>
    <row r="58" spans="1:8" x14ac:dyDescent="0.2">
      <c r="A58" s="24">
        <v>44134</v>
      </c>
      <c r="B58" s="7" t="s">
        <v>126</v>
      </c>
      <c r="C58" s="21" t="s">
        <v>27</v>
      </c>
      <c r="D58" s="22" t="s">
        <v>37</v>
      </c>
      <c r="E58" s="23">
        <v>500</v>
      </c>
      <c r="F58" s="22">
        <v>1.0960000000000001</v>
      </c>
      <c r="G58" s="21">
        <v>543</v>
      </c>
      <c r="H58" s="27"/>
    </row>
    <row r="59" spans="1:8" x14ac:dyDescent="0.2">
      <c r="A59" s="24">
        <v>44134</v>
      </c>
      <c r="B59" s="7" t="s">
        <v>118</v>
      </c>
      <c r="C59" s="21" t="s">
        <v>24</v>
      </c>
      <c r="D59" s="22" t="s">
        <v>36</v>
      </c>
      <c r="E59" s="23">
        <v>200</v>
      </c>
      <c r="F59" s="22">
        <v>4.2869999999999999</v>
      </c>
      <c r="G59" s="21">
        <v>-862.4</v>
      </c>
      <c r="H59" s="27"/>
    </row>
    <row r="60" spans="1:8" x14ac:dyDescent="0.2">
      <c r="A60" s="24">
        <v>44134</v>
      </c>
      <c r="B60" s="7" t="s">
        <v>127</v>
      </c>
      <c r="C60" s="21" t="s">
        <v>28</v>
      </c>
      <c r="D60" s="22" t="s">
        <v>37</v>
      </c>
      <c r="E60" s="23">
        <v>200</v>
      </c>
      <c r="F60" s="22">
        <v>1.6040000000000001</v>
      </c>
      <c r="G60" s="21">
        <v>315.8</v>
      </c>
      <c r="H60" s="27"/>
    </row>
    <row r="61" spans="1:8" x14ac:dyDescent="0.2">
      <c r="A61" s="24">
        <v>44140</v>
      </c>
      <c r="B61" s="7" t="s">
        <v>118</v>
      </c>
      <c r="C61" s="21" t="s">
        <v>24</v>
      </c>
      <c r="D61" s="22" t="s">
        <v>37</v>
      </c>
      <c r="E61" s="23">
        <v>200</v>
      </c>
      <c r="F61" s="22">
        <v>4.7430000000000003</v>
      </c>
      <c r="G61" s="21">
        <v>943.6</v>
      </c>
      <c r="H61" s="27"/>
    </row>
    <row r="62" spans="1:8" x14ac:dyDescent="0.2">
      <c r="A62" s="24">
        <v>44140</v>
      </c>
      <c r="B62" s="7" t="s">
        <v>124</v>
      </c>
      <c r="C62" s="21" t="s">
        <v>23</v>
      </c>
      <c r="D62" s="22" t="s">
        <v>36</v>
      </c>
      <c r="E62" s="23">
        <v>600</v>
      </c>
      <c r="F62" s="22">
        <v>1.0089999999999999</v>
      </c>
      <c r="G62" s="21">
        <v>-610.4</v>
      </c>
      <c r="H62" s="27"/>
    </row>
    <row r="63" spans="1:8" x14ac:dyDescent="0.2">
      <c r="A63" s="24">
        <v>44140</v>
      </c>
      <c r="B63" s="7" t="s">
        <v>128</v>
      </c>
      <c r="C63" s="21" t="s">
        <v>29</v>
      </c>
      <c r="D63" s="22" t="s">
        <v>36</v>
      </c>
      <c r="E63" s="23">
        <v>400</v>
      </c>
      <c r="F63" s="22">
        <v>0.97599999999999998</v>
      </c>
      <c r="G63" s="21">
        <v>-395.4</v>
      </c>
      <c r="H63" s="27"/>
    </row>
    <row r="64" spans="1:8" x14ac:dyDescent="0.2">
      <c r="A64" s="24">
        <v>44147</v>
      </c>
      <c r="B64" s="7" t="s">
        <v>128</v>
      </c>
      <c r="C64" s="21" t="s">
        <v>29</v>
      </c>
      <c r="D64" s="22" t="s">
        <v>37</v>
      </c>
      <c r="E64" s="23">
        <v>1300</v>
      </c>
      <c r="F64" s="22">
        <v>1.0620000000000001</v>
      </c>
      <c r="G64" s="21">
        <v>1375.6</v>
      </c>
      <c r="H64" s="27"/>
    </row>
    <row r="65" spans="1:8" x14ac:dyDescent="0.2">
      <c r="A65" s="24">
        <v>44147</v>
      </c>
      <c r="B65" s="7" t="s">
        <v>124</v>
      </c>
      <c r="C65" s="21" t="s">
        <v>23</v>
      </c>
      <c r="D65" s="22" t="s">
        <v>37</v>
      </c>
      <c r="E65" s="23">
        <v>600</v>
      </c>
      <c r="F65" s="22">
        <v>1.0669999999999999</v>
      </c>
      <c r="G65" s="21">
        <v>635.20000000000005</v>
      </c>
      <c r="H65" s="27"/>
    </row>
    <row r="66" spans="1:8" x14ac:dyDescent="0.2">
      <c r="A66" s="24">
        <v>44147</v>
      </c>
      <c r="B66" s="7" t="s">
        <v>118</v>
      </c>
      <c r="C66" s="21" t="s">
        <v>24</v>
      </c>
      <c r="D66" s="22" t="s">
        <v>36</v>
      </c>
      <c r="E66" s="23">
        <v>400</v>
      </c>
      <c r="F66" s="22">
        <v>4.4290000000000003</v>
      </c>
      <c r="G66" s="21">
        <v>-1776.6</v>
      </c>
      <c r="H66" s="27"/>
    </row>
    <row r="67" spans="1:8" x14ac:dyDescent="0.2">
      <c r="A67" s="24">
        <v>44147</v>
      </c>
      <c r="B67" s="7" t="s">
        <v>129</v>
      </c>
      <c r="C67" s="21" t="s">
        <v>31</v>
      </c>
      <c r="D67" s="22" t="s">
        <v>36</v>
      </c>
      <c r="E67" s="23">
        <v>200</v>
      </c>
      <c r="F67" s="22">
        <v>2.238</v>
      </c>
      <c r="G67" s="21">
        <v>-452.6</v>
      </c>
      <c r="H67" s="27"/>
    </row>
    <row r="68" spans="1:8" x14ac:dyDescent="0.2">
      <c r="A68" s="24">
        <v>44152</v>
      </c>
      <c r="B68" s="7" t="s">
        <v>120</v>
      </c>
      <c r="C68" s="21" t="s">
        <v>25</v>
      </c>
      <c r="D68" s="22" t="s">
        <v>37</v>
      </c>
      <c r="E68" s="23">
        <v>200</v>
      </c>
      <c r="F68" s="22">
        <v>2.5099999999999998</v>
      </c>
      <c r="G68" s="21">
        <v>497</v>
      </c>
      <c r="H68" s="27"/>
    </row>
    <row r="69" spans="1:8" x14ac:dyDescent="0.2">
      <c r="A69" s="24">
        <v>44152</v>
      </c>
      <c r="B69" s="7" t="s">
        <v>127</v>
      </c>
      <c r="C69" s="21" t="s">
        <v>28</v>
      </c>
      <c r="D69" s="22" t="s">
        <v>36</v>
      </c>
      <c r="E69" s="23">
        <v>400</v>
      </c>
      <c r="F69" s="22">
        <v>1.625</v>
      </c>
      <c r="G69" s="21">
        <v>-655</v>
      </c>
      <c r="H69" s="27"/>
    </row>
    <row r="70" spans="1:8" x14ac:dyDescent="0.2">
      <c r="A70" s="24">
        <v>44160</v>
      </c>
      <c r="B70" s="7" t="s">
        <v>126</v>
      </c>
      <c r="C70" s="21" t="s">
        <v>27</v>
      </c>
      <c r="D70" s="22" t="s">
        <v>37</v>
      </c>
      <c r="E70" s="23">
        <v>600</v>
      </c>
      <c r="F70" s="22">
        <v>1.234</v>
      </c>
      <c r="G70" s="21">
        <v>735.4</v>
      </c>
      <c r="H70" s="27"/>
    </row>
    <row r="71" spans="1:8" x14ac:dyDescent="0.2">
      <c r="A71" s="24">
        <v>44160</v>
      </c>
      <c r="B71" s="7" t="s">
        <v>118</v>
      </c>
      <c r="C71" s="21" t="s">
        <v>24</v>
      </c>
      <c r="D71" s="22" t="s">
        <v>36</v>
      </c>
      <c r="E71" s="23">
        <v>200</v>
      </c>
      <c r="F71" s="22">
        <v>4.3259999999999996</v>
      </c>
      <c r="G71" s="21">
        <v>-870.2</v>
      </c>
      <c r="H71" s="27"/>
    </row>
    <row r="72" spans="1:8" x14ac:dyDescent="0.2">
      <c r="A72" s="24">
        <v>44162</v>
      </c>
      <c r="B72" s="7" t="s">
        <v>128</v>
      </c>
      <c r="C72" s="21" t="s">
        <v>29</v>
      </c>
      <c r="D72" s="22" t="s">
        <v>37</v>
      </c>
      <c r="E72" s="23">
        <v>500</v>
      </c>
      <c r="F72" s="22">
        <v>1.097</v>
      </c>
      <c r="G72" s="21">
        <v>543.5</v>
      </c>
      <c r="H72" s="27"/>
    </row>
    <row r="73" spans="1:8" x14ac:dyDescent="0.2">
      <c r="A73" s="24">
        <v>44162</v>
      </c>
      <c r="B73" s="7" t="s">
        <v>129</v>
      </c>
      <c r="C73" s="21" t="s">
        <v>31</v>
      </c>
      <c r="D73" s="22" t="s">
        <v>36</v>
      </c>
      <c r="E73" s="23">
        <v>300</v>
      </c>
      <c r="F73" s="22">
        <v>2.1040000000000001</v>
      </c>
      <c r="G73" s="21">
        <v>-636.20000000000005</v>
      </c>
      <c r="H73" s="27"/>
    </row>
    <row r="74" spans="1:8" x14ac:dyDescent="0.2">
      <c r="A74" s="24">
        <v>44183</v>
      </c>
      <c r="B74" s="7" t="s">
        <v>124</v>
      </c>
      <c r="C74" s="21" t="s">
        <v>23</v>
      </c>
      <c r="D74" s="22" t="s">
        <v>37</v>
      </c>
      <c r="E74" s="23">
        <v>500</v>
      </c>
      <c r="F74" s="22">
        <v>1.135</v>
      </c>
      <c r="G74" s="21">
        <v>562.5</v>
      </c>
      <c r="H74" s="27"/>
    </row>
    <row r="75" spans="1:8" x14ac:dyDescent="0.2">
      <c r="A75" s="24">
        <v>44183</v>
      </c>
      <c r="B75" s="7" t="s">
        <v>120</v>
      </c>
      <c r="C75" s="21" t="s">
        <v>25</v>
      </c>
      <c r="D75" s="22" t="s">
        <v>36</v>
      </c>
      <c r="E75" s="23">
        <v>200</v>
      </c>
      <c r="F75" s="22">
        <v>2.52</v>
      </c>
      <c r="G75" s="21">
        <v>-509</v>
      </c>
      <c r="H75" s="27"/>
    </row>
    <row r="76" spans="1:8" x14ac:dyDescent="0.2">
      <c r="A76" s="24">
        <v>44183</v>
      </c>
      <c r="B76" s="7" t="s">
        <v>129</v>
      </c>
      <c r="C76" s="21" t="s">
        <v>31</v>
      </c>
      <c r="D76" s="22" t="s">
        <v>37</v>
      </c>
      <c r="E76" s="23">
        <v>300</v>
      </c>
      <c r="F76" s="22">
        <v>2.3149999999999999</v>
      </c>
      <c r="G76" s="21">
        <v>689.5</v>
      </c>
      <c r="H76" s="27"/>
    </row>
    <row r="77" spans="1:8" x14ac:dyDescent="0.2">
      <c r="A77" s="24">
        <v>44200</v>
      </c>
      <c r="B77" s="7" t="s">
        <v>128</v>
      </c>
      <c r="C77" s="21" t="s">
        <v>29</v>
      </c>
      <c r="D77" s="22" t="s">
        <v>36</v>
      </c>
      <c r="E77" s="23">
        <v>200</v>
      </c>
      <c r="F77" s="22">
        <v>1.129</v>
      </c>
      <c r="G77" s="21">
        <v>-230.8</v>
      </c>
      <c r="H77" s="27"/>
    </row>
    <row r="78" spans="1:8" x14ac:dyDescent="0.2">
      <c r="A78" s="24">
        <v>44200</v>
      </c>
      <c r="B78" s="7" t="s">
        <v>119</v>
      </c>
      <c r="C78" s="21" t="s">
        <v>22</v>
      </c>
      <c r="D78" s="22" t="s">
        <v>36</v>
      </c>
      <c r="E78" s="23">
        <v>200</v>
      </c>
      <c r="F78" s="22">
        <v>2.2919999999999998</v>
      </c>
      <c r="G78" s="21">
        <v>-463.4</v>
      </c>
      <c r="H78" s="27"/>
    </row>
    <row r="79" spans="1:8" x14ac:dyDescent="0.2">
      <c r="A79" s="24">
        <v>44200</v>
      </c>
      <c r="B79" s="7" t="s">
        <v>127</v>
      </c>
      <c r="C79" s="21" t="s">
        <v>28</v>
      </c>
      <c r="D79" s="22" t="s">
        <v>37</v>
      </c>
      <c r="E79" s="23">
        <v>400</v>
      </c>
      <c r="F79" s="22">
        <v>1.8140000000000001</v>
      </c>
      <c r="G79" s="21">
        <v>720.6</v>
      </c>
      <c r="H79" s="27"/>
    </row>
    <row r="80" spans="1:8" x14ac:dyDescent="0.2">
      <c r="A80" s="24">
        <v>44201</v>
      </c>
      <c r="B80" s="7" t="s">
        <v>122</v>
      </c>
      <c r="C80" s="21" t="s">
        <v>30</v>
      </c>
      <c r="D80" s="22" t="s">
        <v>36</v>
      </c>
      <c r="E80" s="23">
        <v>200</v>
      </c>
      <c r="F80" s="22">
        <v>2.4039999999999999</v>
      </c>
      <c r="G80" s="21">
        <v>-485.8</v>
      </c>
      <c r="H80" s="27"/>
    </row>
    <row r="81" spans="1:8" x14ac:dyDescent="0.2">
      <c r="A81" s="24">
        <v>44201</v>
      </c>
      <c r="B81" s="7" t="s">
        <v>120</v>
      </c>
      <c r="C81" s="21" t="s">
        <v>25</v>
      </c>
      <c r="D81" s="22" t="s">
        <v>36</v>
      </c>
      <c r="E81" s="23">
        <v>200</v>
      </c>
      <c r="F81" s="22">
        <v>2.573</v>
      </c>
      <c r="G81" s="21">
        <v>-519.6</v>
      </c>
      <c r="H81" s="27"/>
    </row>
    <row r="82" spans="1:8" x14ac:dyDescent="0.2">
      <c r="A82" s="24">
        <v>44201</v>
      </c>
      <c r="B82" s="7" t="s">
        <v>126</v>
      </c>
      <c r="C82" s="21" t="s">
        <v>27</v>
      </c>
      <c r="D82" s="22" t="s">
        <v>36</v>
      </c>
      <c r="E82" s="23">
        <v>1100</v>
      </c>
      <c r="F82" s="22">
        <v>1.258</v>
      </c>
      <c r="G82" s="21">
        <v>-1388.8</v>
      </c>
      <c r="H82" s="27"/>
    </row>
    <row r="83" spans="1:8" x14ac:dyDescent="0.2">
      <c r="A83" s="24">
        <v>44201</v>
      </c>
      <c r="B83" s="7" t="s">
        <v>119</v>
      </c>
      <c r="C83" s="21" t="s">
        <v>22</v>
      </c>
      <c r="D83" s="22" t="s">
        <v>36</v>
      </c>
      <c r="E83" s="23">
        <v>700</v>
      </c>
      <c r="F83" s="22">
        <v>2.2480000000000002</v>
      </c>
      <c r="G83" s="21">
        <v>-1578.6</v>
      </c>
      <c r="H83" s="27"/>
    </row>
    <row r="84" spans="1:8" x14ac:dyDescent="0.2">
      <c r="A84" s="24">
        <v>44201</v>
      </c>
      <c r="B84" s="7" t="s">
        <v>128</v>
      </c>
      <c r="C84" s="21" t="s">
        <v>29</v>
      </c>
      <c r="D84" s="22" t="s">
        <v>36</v>
      </c>
      <c r="E84" s="23">
        <v>1100</v>
      </c>
      <c r="F84" s="22">
        <v>1.1240000000000001</v>
      </c>
      <c r="G84" s="21">
        <v>-1241.4000000000001</v>
      </c>
      <c r="H84" s="27"/>
    </row>
    <row r="85" spans="1:8" x14ac:dyDescent="0.2">
      <c r="A85" s="24">
        <v>44201</v>
      </c>
      <c r="B85" s="7" t="s">
        <v>124</v>
      </c>
      <c r="C85" s="21" t="s">
        <v>23</v>
      </c>
      <c r="D85" s="22" t="s">
        <v>36</v>
      </c>
      <c r="E85" s="23">
        <v>1200</v>
      </c>
      <c r="F85" s="22">
        <v>1.137</v>
      </c>
      <c r="G85" s="21">
        <v>-1369.4</v>
      </c>
      <c r="H85" s="27"/>
    </row>
    <row r="86" spans="1:8" x14ac:dyDescent="0.2">
      <c r="A86" s="24">
        <v>44201</v>
      </c>
      <c r="B86" s="7" t="s">
        <v>118</v>
      </c>
      <c r="C86" s="21" t="s">
        <v>24</v>
      </c>
      <c r="D86" s="22" t="s">
        <v>36</v>
      </c>
      <c r="E86" s="23">
        <v>500</v>
      </c>
      <c r="F86" s="22">
        <v>4.2610000000000001</v>
      </c>
      <c r="G86" s="21">
        <v>-2135.5</v>
      </c>
      <c r="H86" s="27"/>
    </row>
    <row r="87" spans="1:8" x14ac:dyDescent="0.2">
      <c r="A87" s="24">
        <v>44201</v>
      </c>
      <c r="B87" s="7" t="s">
        <v>129</v>
      </c>
      <c r="C87" s="21" t="s">
        <v>31</v>
      </c>
      <c r="D87" s="22" t="s">
        <v>36</v>
      </c>
      <c r="E87" s="23">
        <v>100</v>
      </c>
      <c r="F87" s="22">
        <v>2.391</v>
      </c>
      <c r="G87" s="21">
        <v>-244.1</v>
      </c>
      <c r="H87" s="27"/>
    </row>
    <row r="88" spans="1:8" x14ac:dyDescent="0.2">
      <c r="A88" s="24">
        <v>44204</v>
      </c>
      <c r="B88" s="7" t="s">
        <v>117</v>
      </c>
      <c r="C88" s="21" t="s">
        <v>57</v>
      </c>
      <c r="D88" s="22" t="s">
        <v>55</v>
      </c>
      <c r="E88" s="23"/>
      <c r="F88" s="22"/>
      <c r="G88" s="21">
        <v>174</v>
      </c>
      <c r="H88" s="27"/>
    </row>
    <row r="89" spans="1:8" x14ac:dyDescent="0.2">
      <c r="A89" s="24">
        <v>44209</v>
      </c>
      <c r="B89" s="7" t="s">
        <v>126</v>
      </c>
      <c r="C89" s="21" t="s">
        <v>27</v>
      </c>
      <c r="D89" s="22" t="s">
        <v>37</v>
      </c>
      <c r="E89" s="23">
        <v>19200</v>
      </c>
      <c r="F89" s="22">
        <v>1.304</v>
      </c>
      <c r="G89" s="21">
        <v>25021.78</v>
      </c>
      <c r="H89" s="27"/>
    </row>
    <row r="90" spans="1:8" x14ac:dyDescent="0.2">
      <c r="A90" s="24">
        <v>44209</v>
      </c>
      <c r="B90" s="7" t="s">
        <v>119</v>
      </c>
      <c r="C90" s="21" t="s">
        <v>22</v>
      </c>
      <c r="D90" s="22" t="s">
        <v>37</v>
      </c>
      <c r="E90" s="23">
        <v>10700</v>
      </c>
      <c r="F90" s="22">
        <v>2.306</v>
      </c>
      <c r="G90" s="21">
        <v>24659.4</v>
      </c>
      <c r="H90" s="27"/>
    </row>
    <row r="91" spans="1:8" x14ac:dyDescent="0.2">
      <c r="A91" s="24">
        <v>44209</v>
      </c>
      <c r="B91" s="7" t="s">
        <v>118</v>
      </c>
      <c r="C91" s="21" t="s">
        <v>24</v>
      </c>
      <c r="D91" s="22" t="s">
        <v>37</v>
      </c>
      <c r="E91" s="23">
        <v>5700</v>
      </c>
      <c r="F91" s="22">
        <v>4.28</v>
      </c>
      <c r="G91" s="21">
        <v>24381.360000000001</v>
      </c>
      <c r="H91" s="27"/>
    </row>
    <row r="92" spans="1:8" x14ac:dyDescent="0.2">
      <c r="A92" s="24">
        <v>44209</v>
      </c>
      <c r="B92" s="7" t="s">
        <v>128</v>
      </c>
      <c r="C92" s="21" t="s">
        <v>29</v>
      </c>
      <c r="D92" s="22" t="s">
        <v>37</v>
      </c>
      <c r="E92" s="23">
        <v>17900</v>
      </c>
      <c r="F92" s="22">
        <v>1.137</v>
      </c>
      <c r="G92" s="21">
        <v>20340.09</v>
      </c>
      <c r="H92" s="27"/>
    </row>
    <row r="93" spans="1:8" x14ac:dyDescent="0.2">
      <c r="A93" s="24">
        <v>44209</v>
      </c>
      <c r="B93" s="7" t="s">
        <v>124</v>
      </c>
      <c r="C93" s="21" t="s">
        <v>23</v>
      </c>
      <c r="D93" s="22" t="s">
        <v>37</v>
      </c>
      <c r="E93" s="23">
        <v>17700</v>
      </c>
      <c r="F93" s="22">
        <v>1.149</v>
      </c>
      <c r="G93" s="21">
        <v>20325.099999999999</v>
      </c>
      <c r="H93" s="27"/>
    </row>
    <row r="94" spans="1:8" x14ac:dyDescent="0.2">
      <c r="A94" s="24">
        <v>44209</v>
      </c>
      <c r="B94" s="7" t="s">
        <v>122</v>
      </c>
      <c r="C94" s="21" t="s">
        <v>30</v>
      </c>
      <c r="D94" s="22" t="s">
        <v>37</v>
      </c>
      <c r="E94" s="23">
        <v>5400</v>
      </c>
      <c r="F94" s="22">
        <v>2.5249999999999999</v>
      </c>
      <c r="G94" s="21">
        <v>13626.82</v>
      </c>
      <c r="H94" s="27"/>
    </row>
    <row r="95" spans="1:8" x14ac:dyDescent="0.2">
      <c r="A95" s="24">
        <v>44209</v>
      </c>
      <c r="B95" s="7" t="s">
        <v>120</v>
      </c>
      <c r="C95" s="21" t="s">
        <v>25</v>
      </c>
      <c r="D95" s="22" t="s">
        <v>37</v>
      </c>
      <c r="E95" s="23">
        <v>800</v>
      </c>
      <c r="F95" s="22">
        <v>2.6739999999999999</v>
      </c>
      <c r="G95" s="21">
        <v>2134.1999999999998</v>
      </c>
      <c r="H95" s="27"/>
    </row>
    <row r="96" spans="1:8" x14ac:dyDescent="0.2">
      <c r="A96" s="24">
        <v>44209</v>
      </c>
      <c r="B96" s="7" t="s">
        <v>120</v>
      </c>
      <c r="C96" s="21" t="s">
        <v>25</v>
      </c>
      <c r="D96" s="22" t="s">
        <v>37</v>
      </c>
      <c r="E96" s="23">
        <v>4200</v>
      </c>
      <c r="F96" s="22">
        <v>2.673</v>
      </c>
      <c r="G96" s="21">
        <v>11219.86</v>
      </c>
      <c r="H96" s="27"/>
    </row>
    <row r="97" spans="1:8" x14ac:dyDescent="0.2">
      <c r="A97" s="24">
        <v>44209</v>
      </c>
      <c r="B97" s="7" t="s">
        <v>127</v>
      </c>
      <c r="C97" s="21" t="s">
        <v>28</v>
      </c>
      <c r="D97" s="22" t="s">
        <v>37</v>
      </c>
      <c r="E97" s="23">
        <v>800</v>
      </c>
      <c r="F97" s="22">
        <v>1.867</v>
      </c>
      <c r="G97" s="21">
        <v>1488.6</v>
      </c>
      <c r="H97" s="27"/>
    </row>
    <row r="98" spans="1:8" x14ac:dyDescent="0.2">
      <c r="A98" s="24">
        <v>44209</v>
      </c>
      <c r="B98" s="7" t="s">
        <v>129</v>
      </c>
      <c r="C98" s="21" t="s">
        <v>31</v>
      </c>
      <c r="D98" s="22" t="s">
        <v>37</v>
      </c>
      <c r="E98" s="23">
        <v>4000</v>
      </c>
      <c r="F98" s="22">
        <v>2.4359999999999999</v>
      </c>
      <c r="G98" s="21">
        <v>9738.15</v>
      </c>
      <c r="H98" s="27"/>
    </row>
    <row r="99" spans="1:8" x14ac:dyDescent="0.2">
      <c r="A99" s="24">
        <v>44209</v>
      </c>
      <c r="B99" s="7" t="s">
        <v>127</v>
      </c>
      <c r="C99" s="21" t="s">
        <v>28</v>
      </c>
      <c r="D99" s="22" t="s">
        <v>37</v>
      </c>
      <c r="E99" s="23">
        <v>6100</v>
      </c>
      <c r="F99" s="22">
        <v>1.8660000000000001</v>
      </c>
      <c r="G99" s="21">
        <v>11375.77</v>
      </c>
      <c r="H99" s="27"/>
    </row>
    <row r="100" spans="1:8" x14ac:dyDescent="0.2">
      <c r="A100" s="24">
        <v>44209</v>
      </c>
      <c r="B100" s="7" t="s">
        <v>128</v>
      </c>
      <c r="C100" s="21" t="s">
        <v>29</v>
      </c>
      <c r="D100" s="22" t="s">
        <v>36</v>
      </c>
      <c r="E100" s="23">
        <v>100</v>
      </c>
      <c r="F100" s="22">
        <v>1.1399999999999999</v>
      </c>
      <c r="G100" s="21">
        <v>-114.02</v>
      </c>
      <c r="H100" s="27"/>
    </row>
    <row r="101" spans="1:8" x14ac:dyDescent="0.2">
      <c r="A101" s="24">
        <v>44210</v>
      </c>
      <c r="B101" s="7" t="s">
        <v>118</v>
      </c>
      <c r="C101" s="21" t="s">
        <v>24</v>
      </c>
      <c r="D101" s="22" t="s">
        <v>36</v>
      </c>
      <c r="E101" s="23">
        <v>5800</v>
      </c>
      <c r="F101" s="22">
        <v>4.2969999999999997</v>
      </c>
      <c r="G101" s="21">
        <v>-24925.09</v>
      </c>
      <c r="H101" s="27"/>
    </row>
    <row r="102" spans="1:8" x14ac:dyDescent="0.2">
      <c r="A102" s="24">
        <v>44210</v>
      </c>
      <c r="B102" s="7" t="s">
        <v>128</v>
      </c>
      <c r="C102" s="21" t="s">
        <v>29</v>
      </c>
      <c r="D102" s="22" t="s">
        <v>36</v>
      </c>
      <c r="E102" s="23">
        <v>18100</v>
      </c>
      <c r="F102" s="22">
        <v>1.137</v>
      </c>
      <c r="G102" s="21">
        <v>-20581.759999999998</v>
      </c>
      <c r="H102" s="27"/>
    </row>
    <row r="103" spans="1:8" x14ac:dyDescent="0.2">
      <c r="A103" s="24">
        <v>44210</v>
      </c>
      <c r="B103" s="7" t="s">
        <v>122</v>
      </c>
      <c r="C103" s="21" t="s">
        <v>30</v>
      </c>
      <c r="D103" s="22" t="s">
        <v>36</v>
      </c>
      <c r="E103" s="23">
        <v>5300</v>
      </c>
      <c r="F103" s="22">
        <v>2.508</v>
      </c>
      <c r="G103" s="21">
        <v>-13293.73</v>
      </c>
      <c r="H103" s="27"/>
    </row>
    <row r="104" spans="1:8" x14ac:dyDescent="0.2">
      <c r="A104" s="24">
        <v>44210</v>
      </c>
      <c r="B104" s="7" t="s">
        <v>119</v>
      </c>
      <c r="C104" s="21" t="s">
        <v>22</v>
      </c>
      <c r="D104" s="22" t="s">
        <v>36</v>
      </c>
      <c r="E104" s="23">
        <v>10700</v>
      </c>
      <c r="F104" s="22">
        <v>2.323</v>
      </c>
      <c r="G104" s="21">
        <v>-24858.59</v>
      </c>
      <c r="H104" s="27"/>
    </row>
    <row r="105" spans="1:8" x14ac:dyDescent="0.2">
      <c r="A105" s="24">
        <v>44210</v>
      </c>
      <c r="B105" s="7" t="s">
        <v>124</v>
      </c>
      <c r="C105" s="21" t="s">
        <v>23</v>
      </c>
      <c r="D105" s="22" t="s">
        <v>36</v>
      </c>
      <c r="E105" s="23">
        <v>18000</v>
      </c>
      <c r="F105" s="22">
        <v>1.149</v>
      </c>
      <c r="G105" s="21">
        <v>-20684.07</v>
      </c>
      <c r="H105" s="27"/>
    </row>
    <row r="106" spans="1:8" x14ac:dyDescent="0.2">
      <c r="A106" s="24">
        <v>44210</v>
      </c>
      <c r="B106" s="7" t="s">
        <v>120</v>
      </c>
      <c r="C106" s="21" t="s">
        <v>25</v>
      </c>
      <c r="D106" s="22" t="s">
        <v>36</v>
      </c>
      <c r="E106" s="23">
        <v>4900</v>
      </c>
      <c r="F106" s="22">
        <v>2.6930000000000001</v>
      </c>
      <c r="G106" s="21">
        <v>-13197.02</v>
      </c>
      <c r="H106" s="27"/>
    </row>
    <row r="107" spans="1:8" x14ac:dyDescent="0.2">
      <c r="A107" s="24">
        <v>44210</v>
      </c>
      <c r="B107" s="7" t="s">
        <v>126</v>
      </c>
      <c r="C107" s="21" t="s">
        <v>27</v>
      </c>
      <c r="D107" s="22" t="s">
        <v>36</v>
      </c>
      <c r="E107" s="23">
        <v>18800</v>
      </c>
      <c r="F107" s="22">
        <v>1.3240000000000001</v>
      </c>
      <c r="G107" s="21">
        <v>-24893.69</v>
      </c>
      <c r="H107" s="27"/>
    </row>
    <row r="108" spans="1:8" x14ac:dyDescent="0.2">
      <c r="A108" s="24">
        <v>44210</v>
      </c>
      <c r="B108" s="7" t="s">
        <v>129</v>
      </c>
      <c r="C108" s="21" t="s">
        <v>31</v>
      </c>
      <c r="D108" s="22" t="s">
        <v>36</v>
      </c>
      <c r="E108" s="23">
        <v>4100</v>
      </c>
      <c r="F108" s="22">
        <v>2.4220000000000002</v>
      </c>
      <c r="G108" s="21">
        <v>-9931.19</v>
      </c>
      <c r="H108" s="27"/>
    </row>
    <row r="109" spans="1:8" x14ac:dyDescent="0.2">
      <c r="A109" s="24">
        <v>44210</v>
      </c>
      <c r="B109" s="7" t="s">
        <v>127</v>
      </c>
      <c r="C109" s="21" t="s">
        <v>28</v>
      </c>
      <c r="D109" s="22" t="s">
        <v>36</v>
      </c>
      <c r="E109" s="23">
        <v>7000</v>
      </c>
      <c r="F109" s="22">
        <v>1.889</v>
      </c>
      <c r="G109" s="21">
        <v>-13224.32</v>
      </c>
      <c r="H109" s="27"/>
    </row>
    <row r="110" spans="1:8" x14ac:dyDescent="0.2">
      <c r="A110" s="24">
        <v>44222</v>
      </c>
      <c r="B110" s="7" t="s">
        <v>118</v>
      </c>
      <c r="C110" s="21" t="s">
        <v>24</v>
      </c>
      <c r="D110" s="22" t="s">
        <v>37</v>
      </c>
      <c r="E110" s="23">
        <v>100</v>
      </c>
      <c r="F110" s="22">
        <v>4.4580000000000002</v>
      </c>
      <c r="G110" s="21">
        <v>445.7</v>
      </c>
      <c r="H110" s="27"/>
    </row>
    <row r="111" spans="1:8" x14ac:dyDescent="0.2">
      <c r="A111" s="24">
        <v>44222</v>
      </c>
      <c r="B111" s="7" t="s">
        <v>120</v>
      </c>
      <c r="C111" s="21" t="s">
        <v>25</v>
      </c>
      <c r="D111" s="22" t="s">
        <v>37</v>
      </c>
      <c r="E111" s="23">
        <v>100</v>
      </c>
      <c r="F111" s="22">
        <v>2.8279999999999998</v>
      </c>
      <c r="G111" s="21">
        <v>282.7</v>
      </c>
      <c r="H111" s="27"/>
    </row>
    <row r="112" spans="1:8" x14ac:dyDescent="0.2">
      <c r="A112" s="24">
        <v>44222</v>
      </c>
      <c r="B112" s="7" t="s">
        <v>128</v>
      </c>
      <c r="C112" s="21" t="s">
        <v>29</v>
      </c>
      <c r="D112" s="22" t="s">
        <v>36</v>
      </c>
      <c r="E112" s="23">
        <v>700</v>
      </c>
      <c r="F112" s="22">
        <v>1.113</v>
      </c>
      <c r="G112" s="21">
        <v>-779.2</v>
      </c>
      <c r="H112" s="27"/>
    </row>
    <row r="113" spans="1:8" x14ac:dyDescent="0.2">
      <c r="A113" s="24">
        <v>44222</v>
      </c>
      <c r="B113" s="7" t="s">
        <v>124</v>
      </c>
      <c r="C113" s="21" t="s">
        <v>23</v>
      </c>
      <c r="D113" s="22" t="s">
        <v>36</v>
      </c>
      <c r="E113" s="23">
        <v>700</v>
      </c>
      <c r="F113" s="22">
        <v>1.1259999999999999</v>
      </c>
      <c r="G113" s="21">
        <v>-788.3</v>
      </c>
      <c r="H113" s="27"/>
    </row>
    <row r="114" spans="1:8" x14ac:dyDescent="0.2">
      <c r="A114" s="24">
        <v>44222</v>
      </c>
      <c r="B114" s="7" t="s">
        <v>126</v>
      </c>
      <c r="C114" s="21" t="s">
        <v>27</v>
      </c>
      <c r="D114" s="22" t="s">
        <v>36</v>
      </c>
      <c r="E114" s="23">
        <v>200</v>
      </c>
      <c r="F114" s="22">
        <v>1.323</v>
      </c>
      <c r="G114" s="21">
        <v>-264.7</v>
      </c>
      <c r="H114" s="27"/>
    </row>
    <row r="115" spans="1:8" x14ac:dyDescent="0.2">
      <c r="A115" s="24">
        <v>44222</v>
      </c>
      <c r="B115" s="7" t="s">
        <v>129</v>
      </c>
      <c r="C115" s="21" t="s">
        <v>31</v>
      </c>
      <c r="D115" s="22" t="s">
        <v>37</v>
      </c>
      <c r="E115" s="23">
        <v>100</v>
      </c>
      <c r="F115" s="22">
        <v>2.581</v>
      </c>
      <c r="G115" s="21">
        <v>258</v>
      </c>
      <c r="H115" s="27"/>
    </row>
    <row r="116" spans="1:8" x14ac:dyDescent="0.2">
      <c r="A116" s="24">
        <v>44222</v>
      </c>
      <c r="B116" s="7" t="s">
        <v>127</v>
      </c>
      <c r="C116" s="21" t="s">
        <v>28</v>
      </c>
      <c r="D116" s="22" t="s">
        <v>37</v>
      </c>
      <c r="E116" s="23">
        <v>200</v>
      </c>
      <c r="F116" s="22">
        <v>1.99</v>
      </c>
      <c r="G116" s="21">
        <v>397.9</v>
      </c>
      <c r="H116" s="27"/>
    </row>
    <row r="117" spans="1:8" x14ac:dyDescent="0.2">
      <c r="A117" s="24">
        <v>44229</v>
      </c>
      <c r="B117" s="7" t="s">
        <v>124</v>
      </c>
      <c r="C117" s="21" t="s">
        <v>23</v>
      </c>
      <c r="D117" s="22" t="s">
        <v>37</v>
      </c>
      <c r="E117" s="23">
        <v>200</v>
      </c>
      <c r="F117" s="22">
        <v>1.117</v>
      </c>
      <c r="G117" s="21">
        <v>223.3</v>
      </c>
      <c r="H117" s="27"/>
    </row>
    <row r="118" spans="1:8" x14ac:dyDescent="0.2">
      <c r="A118" s="24">
        <v>44229</v>
      </c>
      <c r="B118" s="7" t="s">
        <v>128</v>
      </c>
      <c r="C118" s="21" t="s">
        <v>29</v>
      </c>
      <c r="D118" s="22" t="s">
        <v>37</v>
      </c>
      <c r="E118" s="23">
        <v>100</v>
      </c>
      <c r="F118" s="22">
        <v>1.0920000000000001</v>
      </c>
      <c r="G118" s="21">
        <v>109.1</v>
      </c>
      <c r="H118" s="27"/>
    </row>
    <row r="119" spans="1:8" x14ac:dyDescent="0.2">
      <c r="A119" s="24">
        <v>44229</v>
      </c>
      <c r="B119" s="7" t="s">
        <v>119</v>
      </c>
      <c r="C119" s="21" t="s">
        <v>22</v>
      </c>
      <c r="D119" s="22" t="s">
        <v>36</v>
      </c>
      <c r="E119" s="23">
        <v>100</v>
      </c>
      <c r="F119" s="22">
        <v>2.3029999999999999</v>
      </c>
      <c r="G119" s="21">
        <v>-230.4</v>
      </c>
      <c r="H119" s="27"/>
    </row>
    <row r="120" spans="1:8" x14ac:dyDescent="0.2">
      <c r="A120" s="24">
        <v>44229</v>
      </c>
      <c r="B120" s="7" t="s">
        <v>126</v>
      </c>
      <c r="C120" s="21" t="s">
        <v>27</v>
      </c>
      <c r="D120" s="22" t="s">
        <v>36</v>
      </c>
      <c r="E120" s="23">
        <v>100</v>
      </c>
      <c r="F120" s="22">
        <v>1.2889999999999999</v>
      </c>
      <c r="G120" s="21">
        <v>-129</v>
      </c>
      <c r="H120" s="27"/>
    </row>
    <row r="121" spans="1:8" x14ac:dyDescent="0.2">
      <c r="A121" s="24">
        <v>44231</v>
      </c>
      <c r="B121" s="7" t="s">
        <v>118</v>
      </c>
      <c r="C121" s="21" t="s">
        <v>24</v>
      </c>
      <c r="D121" s="22" t="s">
        <v>37</v>
      </c>
      <c r="E121" s="23">
        <v>100</v>
      </c>
      <c r="F121" s="22">
        <v>4.4569999999999999</v>
      </c>
      <c r="G121" s="21">
        <v>445.6</v>
      </c>
      <c r="H121" s="27"/>
    </row>
    <row r="122" spans="1:8" x14ac:dyDescent="0.2">
      <c r="A122" s="24">
        <v>44231</v>
      </c>
      <c r="B122" s="7" t="s">
        <v>126</v>
      </c>
      <c r="C122" s="21" t="s">
        <v>27</v>
      </c>
      <c r="D122" s="22" t="s">
        <v>36</v>
      </c>
      <c r="E122" s="23">
        <v>100</v>
      </c>
      <c r="F122" s="22">
        <v>1.294</v>
      </c>
      <c r="G122" s="21">
        <v>-129.5</v>
      </c>
      <c r="H122" s="27"/>
    </row>
    <row r="123" spans="1:8" x14ac:dyDescent="0.2">
      <c r="A123" s="24">
        <v>44231</v>
      </c>
      <c r="B123" s="7" t="s">
        <v>128</v>
      </c>
      <c r="C123" s="21" t="s">
        <v>29</v>
      </c>
      <c r="D123" s="22" t="s">
        <v>36</v>
      </c>
      <c r="E123" s="23">
        <v>100</v>
      </c>
      <c r="F123" s="22">
        <v>1.101</v>
      </c>
      <c r="G123" s="21">
        <v>-110.2</v>
      </c>
      <c r="H123" s="27"/>
    </row>
    <row r="124" spans="1:8" x14ac:dyDescent="0.2">
      <c r="A124" s="24">
        <v>44235</v>
      </c>
      <c r="B124" s="7" t="s">
        <v>119</v>
      </c>
      <c r="C124" s="21" t="s">
        <v>22</v>
      </c>
      <c r="D124" s="22" t="s">
        <v>37</v>
      </c>
      <c r="E124" s="23">
        <v>100</v>
      </c>
      <c r="F124" s="22">
        <v>2.375</v>
      </c>
      <c r="G124" s="21">
        <v>237.4</v>
      </c>
      <c r="H124" s="27"/>
    </row>
    <row r="125" spans="1:8" x14ac:dyDescent="0.2">
      <c r="A125" s="24">
        <v>44235</v>
      </c>
      <c r="B125" s="7" t="s">
        <v>126</v>
      </c>
      <c r="C125" s="21" t="s">
        <v>27</v>
      </c>
      <c r="D125" s="22" t="s">
        <v>36</v>
      </c>
      <c r="E125" s="23">
        <v>100</v>
      </c>
      <c r="F125" s="22">
        <v>1.3260000000000001</v>
      </c>
      <c r="G125" s="21">
        <v>-132.69999999999999</v>
      </c>
      <c r="H125" s="27"/>
    </row>
    <row r="126" spans="1:8" x14ac:dyDescent="0.2">
      <c r="A126" s="24">
        <v>44236</v>
      </c>
      <c r="B126" s="7" t="s">
        <v>126</v>
      </c>
      <c r="C126" s="21" t="s">
        <v>27</v>
      </c>
      <c r="D126" s="22" t="s">
        <v>36</v>
      </c>
      <c r="E126" s="23">
        <v>300</v>
      </c>
      <c r="F126" s="22">
        <v>1.3380000000000001</v>
      </c>
      <c r="G126" s="21">
        <v>-401.5</v>
      </c>
      <c r="H126" s="27"/>
    </row>
    <row r="127" spans="1:8" x14ac:dyDescent="0.2">
      <c r="A127" s="24">
        <v>44236</v>
      </c>
      <c r="B127" s="7" t="s">
        <v>119</v>
      </c>
      <c r="C127" s="21" t="s">
        <v>22</v>
      </c>
      <c r="D127" s="22" t="s">
        <v>36</v>
      </c>
      <c r="E127" s="23">
        <v>300</v>
      </c>
      <c r="F127" s="22">
        <v>2.379</v>
      </c>
      <c r="G127" s="21">
        <v>-713.8</v>
      </c>
      <c r="H127" s="27"/>
    </row>
    <row r="128" spans="1:8" x14ac:dyDescent="0.2">
      <c r="A128" s="24">
        <v>44236</v>
      </c>
      <c r="B128" s="7" t="s">
        <v>124</v>
      </c>
      <c r="C128" s="21" t="s">
        <v>23</v>
      </c>
      <c r="D128" s="22" t="s">
        <v>36</v>
      </c>
      <c r="E128" s="23">
        <v>700</v>
      </c>
      <c r="F128" s="22">
        <v>1.137</v>
      </c>
      <c r="G128" s="21">
        <v>-796</v>
      </c>
      <c r="H128" s="27"/>
    </row>
    <row r="129" spans="1:8" x14ac:dyDescent="0.2">
      <c r="A129" s="24">
        <v>44236</v>
      </c>
      <c r="B129" s="7" t="s">
        <v>118</v>
      </c>
      <c r="C129" s="21" t="s">
        <v>24</v>
      </c>
      <c r="D129" s="22" t="s">
        <v>36</v>
      </c>
      <c r="E129" s="23">
        <v>200</v>
      </c>
      <c r="F129" s="22">
        <v>4.54</v>
      </c>
      <c r="G129" s="21">
        <v>-908.1</v>
      </c>
      <c r="H129" s="27"/>
    </row>
    <row r="130" spans="1:8" x14ac:dyDescent="0.2">
      <c r="A130" s="24">
        <v>44236</v>
      </c>
      <c r="B130" s="7" t="s">
        <v>120</v>
      </c>
      <c r="C130" s="21" t="s">
        <v>25</v>
      </c>
      <c r="D130" s="22" t="s">
        <v>36</v>
      </c>
      <c r="E130" s="23">
        <v>200</v>
      </c>
      <c r="F130" s="22">
        <v>2.7759999999999998</v>
      </c>
      <c r="G130" s="21">
        <v>-555.29999999999995</v>
      </c>
      <c r="H130" s="27"/>
    </row>
    <row r="131" spans="1:8" x14ac:dyDescent="0.2">
      <c r="A131" s="24">
        <v>44236</v>
      </c>
      <c r="B131" s="7" t="s">
        <v>122</v>
      </c>
      <c r="C131" s="21" t="s">
        <v>30</v>
      </c>
      <c r="D131" s="22" t="s">
        <v>36</v>
      </c>
      <c r="E131" s="23">
        <v>200</v>
      </c>
      <c r="F131" s="22">
        <v>2.5409999999999999</v>
      </c>
      <c r="G131" s="21">
        <v>-508.3</v>
      </c>
      <c r="H131" s="27"/>
    </row>
    <row r="132" spans="1:8" x14ac:dyDescent="0.2">
      <c r="A132" s="24">
        <v>44236</v>
      </c>
      <c r="B132" s="7" t="s">
        <v>128</v>
      </c>
      <c r="C132" s="21" t="s">
        <v>29</v>
      </c>
      <c r="D132" s="22" t="s">
        <v>36</v>
      </c>
      <c r="E132" s="23">
        <v>600</v>
      </c>
      <c r="F132" s="22">
        <v>1.121</v>
      </c>
      <c r="G132" s="21">
        <v>-672.7</v>
      </c>
      <c r="H132" s="27"/>
    </row>
    <row r="133" spans="1:8" x14ac:dyDescent="0.2">
      <c r="A133" s="24">
        <v>44236</v>
      </c>
      <c r="B133" s="7" t="s">
        <v>127</v>
      </c>
      <c r="C133" s="21" t="s">
        <v>28</v>
      </c>
      <c r="D133" s="22" t="s">
        <v>36</v>
      </c>
      <c r="E133" s="23">
        <v>200</v>
      </c>
      <c r="F133" s="22">
        <v>1.986</v>
      </c>
      <c r="G133" s="21">
        <v>-397.3</v>
      </c>
      <c r="H133" s="27"/>
    </row>
    <row r="134" spans="1:8" x14ac:dyDescent="0.2">
      <c r="A134" s="24">
        <v>44245</v>
      </c>
      <c r="B134" s="7" t="s">
        <v>122</v>
      </c>
      <c r="C134" s="21" t="s">
        <v>30</v>
      </c>
      <c r="D134" s="22" t="s">
        <v>37</v>
      </c>
      <c r="E134" s="23">
        <v>100</v>
      </c>
      <c r="F134" s="22">
        <v>2.6779999999999999</v>
      </c>
      <c r="G134" s="21">
        <v>267.7</v>
      </c>
      <c r="H134" s="27"/>
    </row>
    <row r="135" spans="1:8" x14ac:dyDescent="0.2">
      <c r="A135" s="24">
        <v>44245</v>
      </c>
      <c r="B135" s="7" t="s">
        <v>119</v>
      </c>
      <c r="C135" s="21" t="s">
        <v>22</v>
      </c>
      <c r="D135" s="22" t="s">
        <v>36</v>
      </c>
      <c r="E135" s="23">
        <v>100</v>
      </c>
      <c r="F135" s="22">
        <v>2.383</v>
      </c>
      <c r="G135" s="21">
        <v>-238.4</v>
      </c>
      <c r="H135" s="27"/>
    </row>
    <row r="136" spans="1:8" x14ac:dyDescent="0.2">
      <c r="A136" s="24">
        <v>44245</v>
      </c>
      <c r="B136" s="7" t="s">
        <v>124</v>
      </c>
      <c r="C136" s="21" t="s">
        <v>23</v>
      </c>
      <c r="D136" s="22" t="s">
        <v>36</v>
      </c>
      <c r="E136" s="23">
        <v>100</v>
      </c>
      <c r="F136" s="22">
        <v>1.135</v>
      </c>
      <c r="G136" s="21">
        <v>-113.6</v>
      </c>
      <c r="H136" s="27"/>
    </row>
    <row r="137" spans="1:8" x14ac:dyDescent="0.2">
      <c r="A137" s="24">
        <v>44245</v>
      </c>
      <c r="B137" s="7" t="s">
        <v>129</v>
      </c>
      <c r="C137" s="21" t="s">
        <v>31</v>
      </c>
      <c r="D137" s="22" t="s">
        <v>37</v>
      </c>
      <c r="E137" s="23">
        <v>100</v>
      </c>
      <c r="F137" s="22">
        <v>2.7240000000000002</v>
      </c>
      <c r="G137" s="21">
        <v>272.3</v>
      </c>
      <c r="H137" s="27"/>
    </row>
    <row r="138" spans="1:8" x14ac:dyDescent="0.2">
      <c r="A138" s="24">
        <v>44246</v>
      </c>
      <c r="B138" s="7" t="s">
        <v>126</v>
      </c>
      <c r="C138" s="21" t="s">
        <v>27</v>
      </c>
      <c r="D138" s="22" t="s">
        <v>37</v>
      </c>
      <c r="E138" s="23">
        <v>200</v>
      </c>
      <c r="F138" s="22">
        <v>1.359</v>
      </c>
      <c r="G138" s="21">
        <v>271.7</v>
      </c>
      <c r="H138" s="27"/>
    </row>
    <row r="139" spans="1:8" x14ac:dyDescent="0.2">
      <c r="A139" s="24">
        <v>44246</v>
      </c>
      <c r="B139" s="7" t="s">
        <v>120</v>
      </c>
      <c r="C139" s="21" t="s">
        <v>25</v>
      </c>
      <c r="D139" s="22" t="s">
        <v>37</v>
      </c>
      <c r="E139" s="23">
        <v>100</v>
      </c>
      <c r="F139" s="22">
        <v>2.8679999999999999</v>
      </c>
      <c r="G139" s="21">
        <v>286.7</v>
      </c>
      <c r="H139" s="27"/>
    </row>
    <row r="140" spans="1:8" x14ac:dyDescent="0.2">
      <c r="A140" s="24">
        <v>44246</v>
      </c>
      <c r="B140" s="7" t="s">
        <v>124</v>
      </c>
      <c r="C140" s="21" t="s">
        <v>23</v>
      </c>
      <c r="D140" s="22" t="s">
        <v>36</v>
      </c>
      <c r="E140" s="23">
        <v>100</v>
      </c>
      <c r="F140" s="22">
        <v>1.129</v>
      </c>
      <c r="G140" s="21">
        <v>-113</v>
      </c>
      <c r="H140" s="27"/>
    </row>
    <row r="141" spans="1:8" x14ac:dyDescent="0.2">
      <c r="A141" s="24">
        <v>44246</v>
      </c>
      <c r="B141" s="7" t="s">
        <v>129</v>
      </c>
      <c r="C141" s="21" t="s">
        <v>31</v>
      </c>
      <c r="D141" s="22" t="s">
        <v>36</v>
      </c>
      <c r="E141" s="23">
        <v>100</v>
      </c>
      <c r="F141" s="22">
        <v>2.6549999999999998</v>
      </c>
      <c r="G141" s="21">
        <v>-265.60000000000002</v>
      </c>
      <c r="H141" s="27"/>
    </row>
    <row r="142" spans="1:8" x14ac:dyDescent="0.2">
      <c r="A142" s="24">
        <v>44249</v>
      </c>
      <c r="B142" s="7" t="s">
        <v>117</v>
      </c>
      <c r="C142" s="21" t="s">
        <v>57</v>
      </c>
      <c r="D142" s="22" t="s">
        <v>54</v>
      </c>
      <c r="E142" s="23"/>
      <c r="F142" s="22"/>
      <c r="G142" s="21">
        <v>-6916.64</v>
      </c>
      <c r="H142" s="27"/>
    </row>
    <row r="143" spans="1:8" x14ac:dyDescent="0.2">
      <c r="A143" s="24">
        <v>44249</v>
      </c>
      <c r="B143" s="7" t="s">
        <v>117</v>
      </c>
      <c r="C143" s="21" t="s">
        <v>57</v>
      </c>
      <c r="D143" s="22" t="s">
        <v>54</v>
      </c>
      <c r="E143" s="23"/>
      <c r="F143" s="22"/>
      <c r="G143" s="21">
        <v>-7670.15</v>
      </c>
      <c r="H143" s="27"/>
    </row>
    <row r="144" spans="1:8" x14ac:dyDescent="0.2">
      <c r="A144" s="24">
        <f>DATE(LEFT(表2[[#This Row],[交割单原始日期]],4),MID(表2[[#This Row],[交割单原始日期]],5,2),RIGHT(表2[[#This Row],[交割单原始日期]],2))</f>
        <v>44250</v>
      </c>
      <c r="B144" s="7" t="s">
        <v>128</v>
      </c>
      <c r="C144" s="21" t="s">
        <v>29</v>
      </c>
      <c r="D144" s="22" t="s">
        <v>37</v>
      </c>
      <c r="E144" s="23">
        <v>300</v>
      </c>
      <c r="F144" s="22">
        <v>1.1359999999999999</v>
      </c>
      <c r="G144" s="21">
        <v>340.7</v>
      </c>
      <c r="H144" s="27">
        <v>20210223</v>
      </c>
    </row>
    <row r="145" spans="1:8" x14ac:dyDescent="0.2">
      <c r="A145" s="24">
        <f>DATE(LEFT(表2[[#This Row],[交割单原始日期]],4),MID(表2[[#This Row],[交割单原始日期]],5,2),RIGHT(表2[[#This Row],[交割单原始日期]],2))</f>
        <v>44250</v>
      </c>
      <c r="B145" s="7" t="s">
        <v>126</v>
      </c>
      <c r="C145" s="21" t="s">
        <v>27</v>
      </c>
      <c r="D145" s="22" t="s">
        <v>37</v>
      </c>
      <c r="E145" s="23">
        <v>100</v>
      </c>
      <c r="F145" s="22">
        <v>1.363</v>
      </c>
      <c r="G145" s="21">
        <v>136.19999999999999</v>
      </c>
      <c r="H145" s="27">
        <v>20210223</v>
      </c>
    </row>
    <row r="146" spans="1:8" x14ac:dyDescent="0.2">
      <c r="A146" s="24">
        <f>DATE(LEFT(表2[[#This Row],[交割单原始日期]],4),MID(表2[[#This Row],[交割单原始日期]],5,2),RIGHT(表2[[#This Row],[交割单原始日期]],2))</f>
        <v>44250</v>
      </c>
      <c r="B146" s="7" t="s">
        <v>124</v>
      </c>
      <c r="C146" s="21" t="s">
        <v>23</v>
      </c>
      <c r="D146" s="22" t="s">
        <v>37</v>
      </c>
      <c r="E146" s="23">
        <v>100</v>
      </c>
      <c r="F146" s="22">
        <v>1.133</v>
      </c>
      <c r="G146" s="21">
        <v>113.2</v>
      </c>
      <c r="H146" s="27">
        <v>20210223</v>
      </c>
    </row>
    <row r="147" spans="1:8" x14ac:dyDescent="0.2">
      <c r="A147" s="24">
        <f>DATE(LEFT(表2[[#This Row],[交割单原始日期]],4),MID(表2[[#This Row],[交割单原始日期]],5,2),RIGHT(表2[[#This Row],[交割单原始日期]],2))</f>
        <v>44250</v>
      </c>
      <c r="B147" s="7" t="s">
        <v>129</v>
      </c>
      <c r="C147" s="21" t="s">
        <v>31</v>
      </c>
      <c r="D147" s="22" t="s">
        <v>36</v>
      </c>
      <c r="E147" s="23">
        <v>100</v>
      </c>
      <c r="F147" s="22">
        <v>2.5390000000000001</v>
      </c>
      <c r="G147" s="21">
        <v>-254</v>
      </c>
      <c r="H147" s="27">
        <v>20210223</v>
      </c>
    </row>
    <row r="148" spans="1:8" x14ac:dyDescent="0.2">
      <c r="A148" s="24">
        <f>DATE(LEFT(表2[[#This Row],[交割单原始日期]],4),MID(表2[[#This Row],[交割单原始日期]],5,2),RIGHT(表2[[#This Row],[交割单原始日期]],2))</f>
        <v>44250</v>
      </c>
      <c r="B148" s="7" t="s">
        <v>127</v>
      </c>
      <c r="C148" s="21" t="s">
        <v>28</v>
      </c>
      <c r="D148" s="22" t="s">
        <v>36</v>
      </c>
      <c r="E148" s="23">
        <v>200</v>
      </c>
      <c r="F148" s="22">
        <v>1.925</v>
      </c>
      <c r="G148" s="21">
        <v>-385.1</v>
      </c>
      <c r="H148" s="27">
        <v>20210223</v>
      </c>
    </row>
    <row r="149" spans="1:8" x14ac:dyDescent="0.2">
      <c r="A149" s="24">
        <f>DATE(LEFT(表2[[#This Row],[交割单原始日期]],4),MID(表2[[#This Row],[交割单原始日期]],5,2),RIGHT(表2[[#This Row],[交割单原始日期]],2))</f>
        <v>44251</v>
      </c>
      <c r="B149" s="7" t="s">
        <v>126</v>
      </c>
      <c r="C149" s="21" t="s">
        <v>27</v>
      </c>
      <c r="D149" s="22" t="s">
        <v>37</v>
      </c>
      <c r="E149" s="23">
        <v>100</v>
      </c>
      <c r="F149" s="22">
        <v>1.3580000000000001</v>
      </c>
      <c r="G149" s="21">
        <v>135.69999999999999</v>
      </c>
      <c r="H149" s="27">
        <v>20210224</v>
      </c>
    </row>
    <row r="150" spans="1:8" x14ac:dyDescent="0.2">
      <c r="A150" s="24">
        <f>DATE(LEFT(表2[[#This Row],[交割单原始日期]],4),MID(表2[[#This Row],[交割单原始日期]],5,2),RIGHT(表2[[#This Row],[交割单原始日期]],2))</f>
        <v>44251</v>
      </c>
      <c r="B150" s="7" t="s">
        <v>128</v>
      </c>
      <c r="C150" s="21" t="s">
        <v>29</v>
      </c>
      <c r="D150" s="22" t="s">
        <v>37</v>
      </c>
      <c r="E150" s="23">
        <v>100</v>
      </c>
      <c r="F150" s="22">
        <v>1.147</v>
      </c>
      <c r="G150" s="21">
        <v>114.6</v>
      </c>
      <c r="H150" s="27">
        <v>20210224</v>
      </c>
    </row>
    <row r="151" spans="1:8" x14ac:dyDescent="0.2">
      <c r="A151" s="24">
        <f>DATE(LEFT(表2[[#This Row],[交割单原始日期]],4),MID(表2[[#This Row],[交割单原始日期]],5,2),RIGHT(表2[[#This Row],[交割单原始日期]],2))</f>
        <v>44251</v>
      </c>
      <c r="B151" s="7" t="s">
        <v>124</v>
      </c>
      <c r="C151" s="21" t="s">
        <v>23</v>
      </c>
      <c r="D151" s="22" t="s">
        <v>37</v>
      </c>
      <c r="E151" s="23">
        <v>100</v>
      </c>
      <c r="F151" s="22">
        <v>1.133</v>
      </c>
      <c r="G151" s="21">
        <v>113.2</v>
      </c>
      <c r="H151" s="27">
        <v>20210224</v>
      </c>
    </row>
    <row r="152" spans="1:8" x14ac:dyDescent="0.2">
      <c r="A152" s="24">
        <f>DATE(LEFT(表2[[#This Row],[交割单原始日期]],4),MID(表2[[#This Row],[交割单原始日期]],5,2),RIGHT(表2[[#This Row],[交割单原始日期]],2))</f>
        <v>44251</v>
      </c>
      <c r="B152" s="7" t="s">
        <v>118</v>
      </c>
      <c r="C152" s="21" t="s">
        <v>24</v>
      </c>
      <c r="D152" s="22" t="s">
        <v>36</v>
      </c>
      <c r="E152" s="23">
        <v>100</v>
      </c>
      <c r="F152" s="22">
        <v>4.3979999999999997</v>
      </c>
      <c r="G152" s="21">
        <v>-439.9</v>
      </c>
      <c r="H152" s="27">
        <v>20210224</v>
      </c>
    </row>
    <row r="153" spans="1:8" x14ac:dyDescent="0.2">
      <c r="A153" s="24">
        <f>DATE(LEFT(表2[[#This Row],[交割单原始日期]],4),MID(表2[[#This Row],[交割单原始日期]],5,2),RIGHT(表2[[#This Row],[交割单原始日期]],2))</f>
        <v>44251</v>
      </c>
      <c r="B153" s="7" t="s">
        <v>122</v>
      </c>
      <c r="C153" s="21" t="s">
        <v>30</v>
      </c>
      <c r="D153" s="22" t="s">
        <v>36</v>
      </c>
      <c r="E153" s="23">
        <v>100</v>
      </c>
      <c r="F153" s="22">
        <v>2.5430000000000001</v>
      </c>
      <c r="G153" s="21">
        <v>-254.4</v>
      </c>
      <c r="H153" s="27">
        <v>20210224</v>
      </c>
    </row>
    <row r="154" spans="1:8" x14ac:dyDescent="0.2">
      <c r="A154" s="24">
        <f>DATE(LEFT(表2[[#This Row],[交割单原始日期]],4),MID(表2[[#This Row],[交割单原始日期]],5,2),RIGHT(表2[[#This Row],[交割单原始日期]],2))</f>
        <v>44251</v>
      </c>
      <c r="B154" s="7" t="s">
        <v>127</v>
      </c>
      <c r="C154" s="21" t="s">
        <v>28</v>
      </c>
      <c r="D154" s="22" t="s">
        <v>36</v>
      </c>
      <c r="E154" s="23">
        <v>100</v>
      </c>
      <c r="F154" s="22">
        <v>1.89</v>
      </c>
      <c r="G154" s="21">
        <v>-189.1</v>
      </c>
      <c r="H154" s="27">
        <v>20210224</v>
      </c>
    </row>
    <row r="155" spans="1:8" x14ac:dyDescent="0.2">
      <c r="A155" s="24">
        <f>DATE(LEFT(表2[[#This Row],[交割单原始日期]],4),MID(表2[[#This Row],[交割单原始日期]],5,2),RIGHT(表2[[#This Row],[交割单原始日期]],2))</f>
        <v>44252</v>
      </c>
      <c r="B155" s="7" t="s">
        <v>128</v>
      </c>
      <c r="C155" s="21" t="s">
        <v>29</v>
      </c>
      <c r="D155" s="22" t="s">
        <v>37</v>
      </c>
      <c r="E155" s="23">
        <v>300</v>
      </c>
      <c r="F155" s="22">
        <v>1.157</v>
      </c>
      <c r="G155" s="21">
        <v>347</v>
      </c>
      <c r="H155" s="27">
        <v>20210225</v>
      </c>
    </row>
    <row r="156" spans="1:8" x14ac:dyDescent="0.2">
      <c r="A156" s="24">
        <f>DATE(LEFT(表2[[#This Row],[交割单原始日期]],4),MID(表2[[#This Row],[交割单原始日期]],5,2),RIGHT(表2[[#This Row],[交割单原始日期]],2))</f>
        <v>44252</v>
      </c>
      <c r="B156" s="7" t="s">
        <v>119</v>
      </c>
      <c r="C156" s="21" t="s">
        <v>22</v>
      </c>
      <c r="D156" s="22" t="s">
        <v>37</v>
      </c>
      <c r="E156" s="23">
        <v>100</v>
      </c>
      <c r="F156" s="22">
        <v>2.3849999999999998</v>
      </c>
      <c r="G156" s="21">
        <v>238.4</v>
      </c>
      <c r="H156" s="27">
        <v>20210225</v>
      </c>
    </row>
    <row r="157" spans="1:8" x14ac:dyDescent="0.2">
      <c r="A157" s="24">
        <f>DATE(LEFT(表2[[#This Row],[交割单原始日期]],4),MID(表2[[#This Row],[交割单原始日期]],5,2),RIGHT(表2[[#This Row],[交割单原始日期]],2))</f>
        <v>44252</v>
      </c>
      <c r="B157" s="7" t="s">
        <v>124</v>
      </c>
      <c r="C157" s="21" t="s">
        <v>23</v>
      </c>
      <c r="D157" s="22" t="s">
        <v>37</v>
      </c>
      <c r="E157" s="23">
        <v>100</v>
      </c>
      <c r="F157" s="22">
        <v>1.143</v>
      </c>
      <c r="G157" s="21">
        <v>114.2</v>
      </c>
      <c r="H157" s="27">
        <v>20210225</v>
      </c>
    </row>
    <row r="158" spans="1:8" x14ac:dyDescent="0.2">
      <c r="A158" s="24">
        <f>DATE(LEFT(表2[[#This Row],[交割单原始日期]],4),MID(表2[[#This Row],[交割单原始日期]],5,2),RIGHT(表2[[#This Row],[交割单原始日期]],2))</f>
        <v>44252</v>
      </c>
      <c r="B158" s="7" t="s">
        <v>120</v>
      </c>
      <c r="C158" s="21" t="s">
        <v>25</v>
      </c>
      <c r="D158" s="22" t="s">
        <v>36</v>
      </c>
      <c r="E158" s="23">
        <v>1200</v>
      </c>
      <c r="F158" s="22">
        <v>2.827</v>
      </c>
      <c r="G158" s="21">
        <v>-3392.74</v>
      </c>
      <c r="H158" s="27">
        <v>20210225</v>
      </c>
    </row>
    <row r="159" spans="1:8" x14ac:dyDescent="0.2">
      <c r="A159" s="24">
        <f>DATE(LEFT(表2[[#This Row],[交割单原始日期]],4),MID(表2[[#This Row],[交割单原始日期]],5,2),RIGHT(表2[[#This Row],[交割单原始日期]],2))</f>
        <v>44252</v>
      </c>
      <c r="B159" s="7" t="s">
        <v>122</v>
      </c>
      <c r="C159" s="21" t="s">
        <v>30</v>
      </c>
      <c r="D159" s="22" t="s">
        <v>36</v>
      </c>
      <c r="E159" s="23">
        <v>1400</v>
      </c>
      <c r="F159" s="22">
        <v>2.4860000000000002</v>
      </c>
      <c r="G159" s="21">
        <v>-3480.75</v>
      </c>
      <c r="H159" s="27">
        <v>20210225</v>
      </c>
    </row>
    <row r="160" spans="1:8" x14ac:dyDescent="0.2">
      <c r="A160" s="24">
        <f>DATE(LEFT(表2[[#This Row],[交割单原始日期]],4),MID(表2[[#This Row],[交割单原始日期]],5,2),RIGHT(表2[[#This Row],[交割单原始日期]],2))</f>
        <v>44252</v>
      </c>
      <c r="B160" s="7" t="s">
        <v>129</v>
      </c>
      <c r="C160" s="21" t="s">
        <v>31</v>
      </c>
      <c r="D160" s="22" t="s">
        <v>37</v>
      </c>
      <c r="E160" s="23">
        <v>4100</v>
      </c>
      <c r="F160" s="22">
        <v>2.4489999999999998</v>
      </c>
      <c r="G160" s="21">
        <v>10039.9</v>
      </c>
      <c r="H160" s="27">
        <v>20210225</v>
      </c>
    </row>
    <row r="161" spans="1:8" x14ac:dyDescent="0.2">
      <c r="A161" s="24">
        <f>DATE(LEFT(表2[[#This Row],[交割单原始日期]],4),MID(表2[[#This Row],[交割单原始日期]],5,2),RIGHT(表2[[#This Row],[交割单原始日期]],2))</f>
        <v>44252</v>
      </c>
      <c r="B161" s="7" t="s">
        <v>127</v>
      </c>
      <c r="C161" s="21" t="s">
        <v>28</v>
      </c>
      <c r="D161" s="22" t="s">
        <v>36</v>
      </c>
      <c r="E161" s="23">
        <v>1900</v>
      </c>
      <c r="F161" s="22">
        <v>1.8620000000000001</v>
      </c>
      <c r="G161" s="21">
        <v>-3538.15</v>
      </c>
      <c r="H161" s="27">
        <v>20210225</v>
      </c>
    </row>
    <row r="162" spans="1:8" x14ac:dyDescent="0.2">
      <c r="A162" s="24">
        <f>DATE(LEFT(表2[[#This Row],[交割单原始日期]],4),MID(表2[[#This Row],[交割单原始日期]],5,2),RIGHT(表2[[#This Row],[交割单原始日期]],2))</f>
        <v>44253</v>
      </c>
      <c r="B162" s="7" t="s">
        <v>124</v>
      </c>
      <c r="C162" s="21" t="s">
        <v>23</v>
      </c>
      <c r="D162" s="22" t="s">
        <v>37</v>
      </c>
      <c r="E162" s="23">
        <v>100</v>
      </c>
      <c r="F162" s="22">
        <v>1.1279999999999999</v>
      </c>
      <c r="G162" s="21">
        <v>112.7</v>
      </c>
      <c r="H162" s="27">
        <v>20210226</v>
      </c>
    </row>
    <row r="163" spans="1:8" x14ac:dyDescent="0.2">
      <c r="A163" s="24">
        <f>DATE(LEFT(表2[[#This Row],[交割单原始日期]],4),MID(表2[[#This Row],[交割单原始日期]],5,2),RIGHT(表2[[#This Row],[交割单原始日期]],2))</f>
        <v>44253</v>
      </c>
      <c r="B163" s="7" t="s">
        <v>121</v>
      </c>
      <c r="C163" s="21" t="s">
        <v>40</v>
      </c>
      <c r="D163" s="22" t="s">
        <v>36</v>
      </c>
      <c r="E163" s="23">
        <v>9700</v>
      </c>
      <c r="F163" s="22">
        <v>1.6910000000000001</v>
      </c>
      <c r="G163" s="21">
        <v>-16404.34</v>
      </c>
      <c r="H163" s="27">
        <v>20210226</v>
      </c>
    </row>
    <row r="164" spans="1:8" x14ac:dyDescent="0.2">
      <c r="A164" s="24">
        <f>DATE(LEFT(表2[[#This Row],[交割单原始日期]],4),MID(表2[[#This Row],[交割单原始日期]],5,2),RIGHT(表2[[#This Row],[交割单原始日期]],2))</f>
        <v>44253</v>
      </c>
      <c r="B164" s="7" t="s">
        <v>127</v>
      </c>
      <c r="C164" s="21" t="s">
        <v>28</v>
      </c>
      <c r="D164" s="22" t="s">
        <v>36</v>
      </c>
      <c r="E164" s="23">
        <v>200</v>
      </c>
      <c r="F164" s="22">
        <v>1.835</v>
      </c>
      <c r="G164" s="21">
        <v>-367.1</v>
      </c>
      <c r="H164" s="27">
        <v>20210226</v>
      </c>
    </row>
    <row r="165" spans="1:8" x14ac:dyDescent="0.2">
      <c r="A165" s="24">
        <f>DATE(LEFT(表2[[#This Row],[交割单原始日期]],4),MID(表2[[#This Row],[交割单原始日期]],5,2),RIGHT(表2[[#This Row],[交割单原始日期]],2))</f>
        <v>44253</v>
      </c>
      <c r="B165" s="7" t="s">
        <v>127</v>
      </c>
      <c r="C165" s="21" t="s">
        <v>28</v>
      </c>
      <c r="D165" s="22" t="s">
        <v>37</v>
      </c>
      <c r="E165" s="23">
        <v>100</v>
      </c>
      <c r="F165" s="22">
        <v>1.8</v>
      </c>
      <c r="G165" s="21">
        <v>179.9</v>
      </c>
      <c r="H165" s="27">
        <v>20210226</v>
      </c>
    </row>
    <row r="166" spans="1:8" x14ac:dyDescent="0.2">
      <c r="A166" s="24">
        <f>DATE(LEFT(表2[[#This Row],[交割单原始日期]],4),MID(表2[[#This Row],[交割单原始日期]],5,2),RIGHT(表2[[#This Row],[交割单原始日期]],2))</f>
        <v>44253</v>
      </c>
      <c r="B166" s="7" t="s">
        <v>127</v>
      </c>
      <c r="C166" s="21" t="s">
        <v>28</v>
      </c>
      <c r="D166" s="22" t="s">
        <v>37</v>
      </c>
      <c r="E166" s="23">
        <v>9100</v>
      </c>
      <c r="F166" s="22">
        <v>1.7689999999999999</v>
      </c>
      <c r="G166" s="21">
        <v>16096.29</v>
      </c>
      <c r="H166" s="27">
        <v>20210226</v>
      </c>
    </row>
    <row r="167" spans="1:8" x14ac:dyDescent="0.2">
      <c r="A167" s="24">
        <f>DATE(LEFT(表2[[#This Row],[交割单原始日期]],4),MID(表2[[#This Row],[交割单原始日期]],5,2),RIGHT(表2[[#This Row],[交割单原始日期]],2))</f>
        <v>44256</v>
      </c>
      <c r="B167" s="7" t="s">
        <v>127</v>
      </c>
      <c r="C167" s="21" t="s">
        <v>28</v>
      </c>
      <c r="D167" s="22" t="s">
        <v>37</v>
      </c>
      <c r="E167" s="23">
        <v>200</v>
      </c>
      <c r="F167" s="22">
        <v>1.7729999999999999</v>
      </c>
      <c r="G167" s="21">
        <v>354.5</v>
      </c>
      <c r="H167" s="27">
        <v>20210301</v>
      </c>
    </row>
    <row r="168" spans="1:8" x14ac:dyDescent="0.2">
      <c r="A168" s="24">
        <f>DATE(LEFT(表2[[#This Row],[交割单原始日期]],4),MID(表2[[#This Row],[交割单原始日期]],5,2),RIGHT(表2[[#This Row],[交割单原始日期]],2))</f>
        <v>44256</v>
      </c>
      <c r="B168" s="7" t="s">
        <v>121</v>
      </c>
      <c r="C168" s="21" t="s">
        <v>40</v>
      </c>
      <c r="D168" s="22" t="s">
        <v>36</v>
      </c>
      <c r="E168" s="23">
        <v>200</v>
      </c>
      <c r="F168" s="22">
        <v>1.7150000000000001</v>
      </c>
      <c r="G168" s="21">
        <v>-343.1</v>
      </c>
      <c r="H168" s="27">
        <v>20210301</v>
      </c>
    </row>
    <row r="169" spans="1:8" x14ac:dyDescent="0.2">
      <c r="A169" s="24">
        <f>DATE(LEFT(表2[[#This Row],[交割单原始日期]],4),MID(表2[[#This Row],[交割单原始日期]],5,2),RIGHT(表2[[#This Row],[交割单原始日期]],2))</f>
        <v>44257</v>
      </c>
      <c r="B169" s="7" t="s">
        <v>128</v>
      </c>
      <c r="C169" s="21" t="s">
        <v>29</v>
      </c>
      <c r="D169" s="22" t="s">
        <v>37</v>
      </c>
      <c r="E169" s="23">
        <v>100</v>
      </c>
      <c r="F169" s="22">
        <v>1.1479999999999999</v>
      </c>
      <c r="G169" s="21">
        <v>114.7</v>
      </c>
      <c r="H169" s="27">
        <v>20210302</v>
      </c>
    </row>
    <row r="170" spans="1:8" x14ac:dyDescent="0.2">
      <c r="A170" s="24">
        <f>DATE(LEFT(表2[[#This Row],[交割单原始日期]],4),MID(表2[[#This Row],[交割单原始日期]],5,2),RIGHT(表2[[#This Row],[交割单原始日期]],2))</f>
        <v>44257</v>
      </c>
      <c r="B170" s="7" t="s">
        <v>126</v>
      </c>
      <c r="C170" s="21" t="s">
        <v>27</v>
      </c>
      <c r="D170" s="22" t="s">
        <v>36</v>
      </c>
      <c r="E170" s="23">
        <v>100</v>
      </c>
      <c r="F170" s="22">
        <v>1.321</v>
      </c>
      <c r="G170" s="21">
        <v>-132.19999999999999</v>
      </c>
      <c r="H170" s="27">
        <v>20210302</v>
      </c>
    </row>
    <row r="171" spans="1:8" x14ac:dyDescent="0.2">
      <c r="A171" s="24">
        <f>DATE(LEFT(表2[[#This Row],[交割单原始日期]],4),MID(表2[[#This Row],[交割单原始日期]],5,2),RIGHT(表2[[#This Row],[交割单原始日期]],2))</f>
        <v>44263</v>
      </c>
      <c r="B171" s="7" t="s">
        <v>124</v>
      </c>
      <c r="C171" s="21" t="s">
        <v>23</v>
      </c>
      <c r="D171" s="22" t="s">
        <v>37</v>
      </c>
      <c r="E171" s="23">
        <v>2500</v>
      </c>
      <c r="F171" s="22">
        <v>1.1279999999999999</v>
      </c>
      <c r="G171" s="21">
        <v>2819.72</v>
      </c>
      <c r="H171" s="27">
        <v>20210308</v>
      </c>
    </row>
    <row r="172" spans="1:8" x14ac:dyDescent="0.2">
      <c r="A172" s="24">
        <f>DATE(LEFT(表2[[#This Row],[交割单原始日期]],4),MID(表2[[#This Row],[交割单原始日期]],5,2),RIGHT(表2[[#This Row],[交割单原始日期]],2))</f>
        <v>44263</v>
      </c>
      <c r="B172" s="7" t="s">
        <v>126</v>
      </c>
      <c r="C172" s="21" t="s">
        <v>27</v>
      </c>
      <c r="D172" s="22" t="s">
        <v>37</v>
      </c>
      <c r="E172" s="23">
        <v>4600</v>
      </c>
      <c r="F172" s="22">
        <v>1.2709999999999999</v>
      </c>
      <c r="G172" s="21">
        <v>5846.02</v>
      </c>
      <c r="H172" s="27">
        <v>20210308</v>
      </c>
    </row>
    <row r="173" spans="1:8" x14ac:dyDescent="0.2">
      <c r="A173" s="24">
        <f>DATE(LEFT(表2[[#This Row],[交割单原始日期]],4),MID(表2[[#This Row],[交割单原始日期]],5,2),RIGHT(表2[[#This Row],[交割单原始日期]],2))</f>
        <v>44263</v>
      </c>
      <c r="B173" s="7" t="s">
        <v>128</v>
      </c>
      <c r="C173" s="21" t="s">
        <v>29</v>
      </c>
      <c r="D173" s="22" t="s">
        <v>37</v>
      </c>
      <c r="E173" s="23">
        <v>2400</v>
      </c>
      <c r="F173" s="22">
        <v>1.141</v>
      </c>
      <c r="G173" s="21">
        <v>2738.13</v>
      </c>
      <c r="H173" s="27">
        <v>20210308</v>
      </c>
    </row>
    <row r="174" spans="1:8" x14ac:dyDescent="0.2">
      <c r="A174" s="24">
        <f>DATE(LEFT(表2[[#This Row],[交割单原始日期]],4),MID(表2[[#This Row],[交割单原始日期]],5,2),RIGHT(表2[[#This Row],[交割单原始日期]],2))</f>
        <v>44263</v>
      </c>
      <c r="B174" s="7" t="s">
        <v>120</v>
      </c>
      <c r="C174" s="21" t="s">
        <v>25</v>
      </c>
      <c r="D174" s="22" t="s">
        <v>36</v>
      </c>
      <c r="E174" s="23">
        <v>700</v>
      </c>
      <c r="F174" s="22">
        <v>2.726</v>
      </c>
      <c r="G174" s="21">
        <v>-1908.39</v>
      </c>
      <c r="H174" s="27">
        <v>20210308</v>
      </c>
    </row>
    <row r="175" spans="1:8" x14ac:dyDescent="0.2">
      <c r="A175" s="24">
        <f>DATE(LEFT(表2[[#This Row],[交割单原始日期]],4),MID(表2[[#This Row],[交割单原始日期]],5,2),RIGHT(表2[[#This Row],[交割单原始日期]],2))</f>
        <v>44263</v>
      </c>
      <c r="B175" s="7" t="s">
        <v>118</v>
      </c>
      <c r="C175" s="21" t="s">
        <v>24</v>
      </c>
      <c r="D175" s="22" t="s">
        <v>36</v>
      </c>
      <c r="E175" s="23">
        <v>700</v>
      </c>
      <c r="F175" s="22">
        <v>4.1959999999999997</v>
      </c>
      <c r="G175" s="21">
        <v>-2937.49</v>
      </c>
      <c r="H175" s="27">
        <v>20210308</v>
      </c>
    </row>
    <row r="176" spans="1:8" x14ac:dyDescent="0.2">
      <c r="A176" s="24">
        <f>DATE(LEFT(表2[[#This Row],[交割单原始日期]],4),MID(表2[[#This Row],[交割单原始日期]],5,2),RIGHT(表2[[#This Row],[交割单原始日期]],2))</f>
        <v>44263</v>
      </c>
      <c r="B176" s="7" t="s">
        <v>119</v>
      </c>
      <c r="C176" s="21" t="s">
        <v>22</v>
      </c>
      <c r="D176" s="22" t="s">
        <v>36</v>
      </c>
      <c r="E176" s="23">
        <v>900</v>
      </c>
      <c r="F176" s="22">
        <v>2.343</v>
      </c>
      <c r="G176" s="21">
        <v>-2108.91</v>
      </c>
      <c r="H176" s="27">
        <v>20210308</v>
      </c>
    </row>
    <row r="177" spans="1:8" x14ac:dyDescent="0.2">
      <c r="A177" s="24">
        <f>DATE(LEFT(表2[[#This Row],[交割单原始日期]],4),MID(表2[[#This Row],[交割单原始日期]],5,2),RIGHT(表2[[#This Row],[交割单原始日期]],2))</f>
        <v>44263</v>
      </c>
      <c r="B177" s="7" t="s">
        <v>122</v>
      </c>
      <c r="C177" s="21" t="s">
        <v>30</v>
      </c>
      <c r="D177" s="22" t="s">
        <v>36</v>
      </c>
      <c r="E177" s="23">
        <v>1000</v>
      </c>
      <c r="F177" s="22">
        <v>2.335</v>
      </c>
      <c r="G177" s="21">
        <v>-2335.23</v>
      </c>
      <c r="H177" s="27">
        <v>20210308</v>
      </c>
    </row>
    <row r="178" spans="1:8" x14ac:dyDescent="0.2">
      <c r="A178" s="24">
        <f>DATE(LEFT(表2[[#This Row],[交割单原始日期]],4),MID(表2[[#This Row],[交割单原始日期]],5,2),RIGHT(表2[[#This Row],[交割单原始日期]],2))</f>
        <v>44263</v>
      </c>
      <c r="B178" s="7" t="s">
        <v>121</v>
      </c>
      <c r="C178" s="21" t="s">
        <v>40</v>
      </c>
      <c r="D178" s="22" t="s">
        <v>36</v>
      </c>
      <c r="E178" s="23">
        <v>1600</v>
      </c>
      <c r="F178" s="22">
        <v>1.61</v>
      </c>
      <c r="G178" s="21">
        <v>-2576.2600000000002</v>
      </c>
      <c r="H178" s="27">
        <v>20210308</v>
      </c>
    </row>
    <row r="179" spans="1:8" x14ac:dyDescent="0.2">
      <c r="A179" s="24">
        <v>44263</v>
      </c>
      <c r="B179" s="7" t="s">
        <v>117</v>
      </c>
      <c r="C179" s="21" t="s">
        <v>57</v>
      </c>
      <c r="D179" s="22" t="s">
        <v>37</v>
      </c>
      <c r="E179" s="23"/>
      <c r="F179" s="22"/>
      <c r="G179" s="21">
        <v>892.92</v>
      </c>
      <c r="H179" s="27"/>
    </row>
    <row r="180" spans="1:8" x14ac:dyDescent="0.2">
      <c r="A180" s="24">
        <f>DATE(LEFT(表2[[#This Row],[交割单原始日期]],4),MID(表2[[#This Row],[交割单原始日期]],5,2),RIGHT(表2[[#This Row],[交割单原始日期]],2))</f>
        <v>44264</v>
      </c>
      <c r="B180" s="7" t="s">
        <v>124</v>
      </c>
      <c r="C180" s="21" t="s">
        <v>23</v>
      </c>
      <c r="D180" s="22" t="s">
        <v>37</v>
      </c>
      <c r="E180" s="23">
        <v>400</v>
      </c>
      <c r="F180" s="22">
        <v>1.1619999999999999</v>
      </c>
      <c r="G180" s="21">
        <v>464.7</v>
      </c>
      <c r="H180" s="27">
        <v>20210309</v>
      </c>
    </row>
    <row r="181" spans="1:8" x14ac:dyDescent="0.2">
      <c r="A181" s="24">
        <f>DATE(LEFT(表2[[#This Row],[交割单原始日期]],4),MID(表2[[#This Row],[交割单原始日期]],5,2),RIGHT(表2[[#This Row],[交割单原始日期]],2))</f>
        <v>44264</v>
      </c>
      <c r="B181" s="7" t="s">
        <v>128</v>
      </c>
      <c r="C181" s="21" t="s">
        <v>29</v>
      </c>
      <c r="D181" s="22" t="s">
        <v>37</v>
      </c>
      <c r="E181" s="23">
        <v>300</v>
      </c>
      <c r="F181" s="22">
        <v>1.1639999999999999</v>
      </c>
      <c r="G181" s="21">
        <v>349.1</v>
      </c>
      <c r="H181" s="27">
        <v>20210309</v>
      </c>
    </row>
    <row r="182" spans="1:8" x14ac:dyDescent="0.2">
      <c r="A182" s="24">
        <f>DATE(LEFT(表2[[#This Row],[交割单原始日期]],4),MID(表2[[#This Row],[交割单原始日期]],5,2),RIGHT(表2[[#This Row],[交割单原始日期]],2))</f>
        <v>44264</v>
      </c>
      <c r="B182" s="7" t="s">
        <v>119</v>
      </c>
      <c r="C182" s="21" t="s">
        <v>22</v>
      </c>
      <c r="D182" s="22" t="s">
        <v>37</v>
      </c>
      <c r="E182" s="23">
        <v>100</v>
      </c>
      <c r="F182" s="22">
        <v>2.3679999999999999</v>
      </c>
      <c r="G182" s="21">
        <v>236.7</v>
      </c>
      <c r="H182" s="27">
        <v>20210309</v>
      </c>
    </row>
    <row r="183" spans="1:8" x14ac:dyDescent="0.2">
      <c r="A183" s="24">
        <f>DATE(LEFT(表2[[#This Row],[交割单原始日期]],4),MID(表2[[#This Row],[交割单原始日期]],5,2),RIGHT(表2[[#This Row],[交割单原始日期]],2))</f>
        <v>44264</v>
      </c>
      <c r="B183" s="7" t="s">
        <v>126</v>
      </c>
      <c r="C183" s="21" t="s">
        <v>27</v>
      </c>
      <c r="D183" s="22" t="s">
        <v>37</v>
      </c>
      <c r="E183" s="23">
        <v>100</v>
      </c>
      <c r="F183" s="22">
        <v>1.2829999999999999</v>
      </c>
      <c r="G183" s="21">
        <v>128.19999999999999</v>
      </c>
      <c r="H183" s="27">
        <v>20210309</v>
      </c>
    </row>
    <row r="184" spans="1:8" x14ac:dyDescent="0.2">
      <c r="A184" s="24">
        <f>DATE(LEFT(表2[[#This Row],[交割单原始日期]],4),MID(表2[[#This Row],[交割单原始日期]],5,2),RIGHT(表2[[#This Row],[交割单原始日期]],2))</f>
        <v>44264</v>
      </c>
      <c r="B184" s="7" t="s">
        <v>122</v>
      </c>
      <c r="C184" s="21" t="s">
        <v>30</v>
      </c>
      <c r="D184" s="22" t="s">
        <v>36</v>
      </c>
      <c r="E184" s="23">
        <v>200</v>
      </c>
      <c r="F184" s="22">
        <v>2.2909999999999999</v>
      </c>
      <c r="G184" s="21">
        <v>-458.3</v>
      </c>
      <c r="H184" s="27">
        <v>20210309</v>
      </c>
    </row>
    <row r="185" spans="1:8" x14ac:dyDescent="0.2">
      <c r="A185" s="24">
        <f>DATE(LEFT(表2[[#This Row],[交割单原始日期]],4),MID(表2[[#This Row],[交割单原始日期]],5,2),RIGHT(表2[[#This Row],[交割单原始日期]],2))</f>
        <v>44264</v>
      </c>
      <c r="B185" s="7" t="s">
        <v>118</v>
      </c>
      <c r="C185" s="21" t="s">
        <v>24</v>
      </c>
      <c r="D185" s="22" t="s">
        <v>36</v>
      </c>
      <c r="E185" s="23">
        <v>100</v>
      </c>
      <c r="F185" s="22">
        <v>4.165</v>
      </c>
      <c r="G185" s="21">
        <v>-416.6</v>
      </c>
      <c r="H185" s="27">
        <v>20210309</v>
      </c>
    </row>
    <row r="186" spans="1:8" x14ac:dyDescent="0.2">
      <c r="A186" s="24">
        <f>DATE(LEFT(表2[[#This Row],[交割单原始日期]],4),MID(表2[[#This Row],[交割单原始日期]],5,2),RIGHT(表2[[#This Row],[交割单原始日期]],2))</f>
        <v>44264</v>
      </c>
      <c r="B186" s="7" t="s">
        <v>121</v>
      </c>
      <c r="C186" s="21" t="s">
        <v>40</v>
      </c>
      <c r="D186" s="22" t="s">
        <v>36</v>
      </c>
      <c r="E186" s="23">
        <v>400</v>
      </c>
      <c r="F186" s="22">
        <v>1.5640000000000001</v>
      </c>
      <c r="G186" s="21">
        <v>-625.70000000000005</v>
      </c>
      <c r="H186" s="27">
        <v>20210309</v>
      </c>
    </row>
    <row r="187" spans="1:8" x14ac:dyDescent="0.2">
      <c r="A187" s="24">
        <f>DATE(LEFT(表2[[#This Row],[交割单原始日期]],4),MID(表2[[#This Row],[交割单原始日期]],5,2),RIGHT(表2[[#This Row],[交割单原始日期]],2))</f>
        <v>44265</v>
      </c>
      <c r="B187" s="7" t="s">
        <v>128</v>
      </c>
      <c r="C187" s="21" t="s">
        <v>29</v>
      </c>
      <c r="D187" s="22" t="s">
        <v>37</v>
      </c>
      <c r="E187" s="23">
        <v>16000</v>
      </c>
      <c r="F187" s="22">
        <v>1.181</v>
      </c>
      <c r="G187" s="21">
        <v>18894.11</v>
      </c>
      <c r="H187" s="27">
        <v>20210310</v>
      </c>
    </row>
    <row r="188" spans="1:8" x14ac:dyDescent="0.2">
      <c r="A188" s="24">
        <f>DATE(LEFT(表2[[#This Row],[交割单原始日期]],4),MID(表2[[#This Row],[交割单原始日期]],5,2),RIGHT(表2[[#This Row],[交割单原始日期]],2))</f>
        <v>44265</v>
      </c>
      <c r="B188" s="7" t="s">
        <v>126</v>
      </c>
      <c r="C188" s="21" t="s">
        <v>27</v>
      </c>
      <c r="D188" s="22" t="s">
        <v>37</v>
      </c>
      <c r="E188" s="23">
        <v>14600</v>
      </c>
      <c r="F188" s="22">
        <v>1.2869999999999999</v>
      </c>
      <c r="G188" s="21">
        <v>18788.32</v>
      </c>
      <c r="H188" s="27">
        <v>20210310</v>
      </c>
    </row>
    <row r="189" spans="1:8" x14ac:dyDescent="0.2">
      <c r="A189" s="24">
        <f>DATE(LEFT(表2[[#This Row],[交割单原始日期]],4),MID(表2[[#This Row],[交割单原始日期]],5,2),RIGHT(表2[[#This Row],[交割单原始日期]],2))</f>
        <v>44265</v>
      </c>
      <c r="B189" s="7" t="s">
        <v>123</v>
      </c>
      <c r="C189" s="21" t="s">
        <v>115</v>
      </c>
      <c r="D189" s="22" t="s">
        <v>36</v>
      </c>
      <c r="E189" s="23">
        <v>22700</v>
      </c>
      <c r="F189" s="22">
        <v>1.2370000000000001</v>
      </c>
      <c r="G189" s="21">
        <v>-28082.71</v>
      </c>
      <c r="H189" s="27">
        <v>20210310</v>
      </c>
    </row>
    <row r="190" spans="1:8" x14ac:dyDescent="0.2">
      <c r="A190" s="24">
        <f>DATE(LEFT(表2[[#This Row],[交割单原始日期]],4),MID(表2[[#This Row],[交割单原始日期]],5,2),RIGHT(表2[[#This Row],[交割单原始日期]],2))</f>
        <v>44265</v>
      </c>
      <c r="B190" s="7" t="s">
        <v>124</v>
      </c>
      <c r="C190" s="21" t="s">
        <v>23</v>
      </c>
      <c r="D190" s="22" t="s">
        <v>36</v>
      </c>
      <c r="E190" s="23">
        <v>7900</v>
      </c>
      <c r="F190" s="22">
        <v>1.175</v>
      </c>
      <c r="G190" s="21">
        <v>-9283.43</v>
      </c>
      <c r="H190" s="27">
        <v>20210310</v>
      </c>
    </row>
    <row r="191" spans="1:8" x14ac:dyDescent="0.2">
      <c r="A191" s="24">
        <f>DATE(LEFT(表2[[#This Row],[交割单原始日期]],4),MID(表2[[#This Row],[交割单原始日期]],5,2),RIGHT(表2[[#This Row],[交割单原始日期]],2))</f>
        <v>44265</v>
      </c>
      <c r="B191" s="7" t="s">
        <v>122</v>
      </c>
      <c r="C191" s="21" t="s">
        <v>30</v>
      </c>
      <c r="D191" s="22" t="s">
        <v>36</v>
      </c>
      <c r="E191" s="23">
        <v>100</v>
      </c>
      <c r="F191" s="22">
        <v>2.2749999999999999</v>
      </c>
      <c r="G191" s="21">
        <v>-227.6</v>
      </c>
      <c r="H191" s="27">
        <v>20210310</v>
      </c>
    </row>
    <row r="192" spans="1:8" x14ac:dyDescent="0.2">
      <c r="A192" s="24">
        <f>DATE(LEFT(表2[[#This Row],[交割单原始日期]],4),MID(表2[[#This Row],[交割单原始日期]],5,2),RIGHT(表2[[#This Row],[交割单原始日期]],2))</f>
        <v>44265</v>
      </c>
      <c r="B192" s="7" t="s">
        <v>121</v>
      </c>
      <c r="C192" s="21" t="s">
        <v>40</v>
      </c>
      <c r="D192" s="22" t="s">
        <v>36</v>
      </c>
      <c r="E192" s="23">
        <v>100</v>
      </c>
      <c r="F192" s="22">
        <v>1.5589999999999999</v>
      </c>
      <c r="G192" s="21">
        <v>-156</v>
      </c>
      <c r="H192" s="27">
        <v>20210310</v>
      </c>
    </row>
    <row r="193" spans="1:8" x14ac:dyDescent="0.2">
      <c r="A193" s="24">
        <f>DATE(LEFT(表2[[#This Row],[交割单原始日期]],4),MID(表2[[#This Row],[交割单原始日期]],5,2),RIGHT(表2[[#This Row],[交割单原始日期]],2))</f>
        <v>44267</v>
      </c>
      <c r="B193" s="7" t="s">
        <v>860</v>
      </c>
      <c r="C193" s="21" t="s">
        <v>23</v>
      </c>
      <c r="D193" s="22" t="s">
        <v>36</v>
      </c>
      <c r="E193" s="23">
        <v>100</v>
      </c>
      <c r="F193" s="22">
        <v>1.177</v>
      </c>
      <c r="G193" s="21">
        <v>-117.8</v>
      </c>
      <c r="H193" s="27">
        <v>20210312</v>
      </c>
    </row>
    <row r="194" spans="1:8" x14ac:dyDescent="0.2">
      <c r="A194" s="24">
        <f>DATE(LEFT(表2[[#This Row],[交割单原始日期]],4),MID(表2[[#This Row],[交割单原始日期]],5,2),RIGHT(表2[[#This Row],[交割单原始日期]],2))</f>
        <v>44267</v>
      </c>
      <c r="B194" s="7" t="s">
        <v>861</v>
      </c>
      <c r="C194" s="21" t="s">
        <v>24</v>
      </c>
      <c r="D194" s="22" t="s">
        <v>37</v>
      </c>
      <c r="E194" s="23">
        <v>100</v>
      </c>
      <c r="F194" s="22">
        <v>4.3310000000000004</v>
      </c>
      <c r="G194" s="21">
        <v>433</v>
      </c>
      <c r="H194" s="27">
        <v>20210312</v>
      </c>
    </row>
    <row r="195" spans="1:8" x14ac:dyDescent="0.2">
      <c r="A195" s="24">
        <v>44267</v>
      </c>
      <c r="B195" s="7" t="s">
        <v>57</v>
      </c>
      <c r="C195" s="21" t="s">
        <v>57</v>
      </c>
      <c r="D195" s="22" t="s">
        <v>859</v>
      </c>
      <c r="E195" s="23"/>
      <c r="F195" s="22"/>
      <c r="G195" s="21">
        <v>205.46</v>
      </c>
      <c r="H195" s="27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7C47-DDD7-4D91-B5E2-AFA76E9B25A5}">
  <sheetPr codeName="Sheet10">
    <tabColor rgb="FF7030A0"/>
  </sheetPr>
  <dimension ref="A1:B13"/>
  <sheetViews>
    <sheetView workbookViewId="0">
      <selection activeCell="A17" sqref="A17"/>
    </sheetView>
  </sheetViews>
  <sheetFormatPr defaultRowHeight="14.25" x14ac:dyDescent="0.2"/>
  <cols>
    <col min="1" max="1" width="13.625" customWidth="1"/>
  </cols>
  <sheetData>
    <row r="1" spans="1:2" ht="18" x14ac:dyDescent="0.25">
      <c r="A1" s="90" t="s">
        <v>845</v>
      </c>
    </row>
    <row r="2" spans="1:2" x14ac:dyDescent="0.2">
      <c r="A2" t="s">
        <v>56</v>
      </c>
    </row>
    <row r="3" spans="1:2" x14ac:dyDescent="0.2">
      <c r="A3" t="s">
        <v>58</v>
      </c>
    </row>
    <row r="4" spans="1:2" x14ac:dyDescent="0.2">
      <c r="A4" t="s">
        <v>35</v>
      </c>
    </row>
    <row r="5" spans="1:2" x14ac:dyDescent="0.2">
      <c r="A5" t="s">
        <v>113</v>
      </c>
    </row>
    <row r="7" spans="1:2" x14ac:dyDescent="0.2">
      <c r="A7" s="91" t="s">
        <v>846</v>
      </c>
    </row>
    <row r="8" spans="1:2" x14ac:dyDescent="0.2">
      <c r="A8" t="s">
        <v>849</v>
      </c>
      <c r="B8" t="s">
        <v>847</v>
      </c>
    </row>
    <row r="9" spans="1:2" x14ac:dyDescent="0.2">
      <c r="A9" t="s">
        <v>850</v>
      </c>
      <c r="B9" t="s">
        <v>848</v>
      </c>
    </row>
    <row r="10" spans="1:2" x14ac:dyDescent="0.2">
      <c r="A10" t="s">
        <v>851</v>
      </c>
      <c r="B10" t="s">
        <v>855</v>
      </c>
    </row>
    <row r="11" spans="1:2" x14ac:dyDescent="0.2">
      <c r="A11" t="s">
        <v>852</v>
      </c>
      <c r="B11" t="s">
        <v>856</v>
      </c>
    </row>
    <row r="12" spans="1:2" x14ac:dyDescent="0.2">
      <c r="A12" t="s">
        <v>853</v>
      </c>
      <c r="B12" t="s">
        <v>857</v>
      </c>
    </row>
    <row r="13" spans="1:2" x14ac:dyDescent="0.2">
      <c r="A13" t="s">
        <v>854</v>
      </c>
      <c r="B13" t="s">
        <v>858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6C4F5-C081-44F9-A97A-E3B7F852560E}">
  <sheetPr codeName="Sheet8">
    <tabColor rgb="FF7030A0"/>
  </sheetPr>
  <dimension ref="A1:Q386"/>
  <sheetViews>
    <sheetView workbookViewId="0">
      <selection activeCell="D33" sqref="D33"/>
    </sheetView>
  </sheetViews>
  <sheetFormatPr defaultRowHeight="14.25" x14ac:dyDescent="0.2"/>
  <cols>
    <col min="1" max="1" width="18.125" bestFit="1" customWidth="1"/>
    <col min="6" max="6" width="15.875" style="69" customWidth="1"/>
    <col min="7" max="7" width="9" style="87"/>
    <col min="8" max="8" width="10.25" style="87" customWidth="1"/>
    <col min="9" max="11" width="9" style="87"/>
    <col min="12" max="12" width="12.125" style="84" customWidth="1"/>
    <col min="13" max="13" width="10.25" customWidth="1"/>
    <col min="14" max="14" width="27" customWidth="1"/>
    <col min="15" max="15" width="11.625" style="24" bestFit="1" customWidth="1"/>
    <col min="16" max="16" width="15.125" bestFit="1" customWidth="1"/>
    <col min="17" max="17" width="25.5" bestFit="1" customWidth="1"/>
  </cols>
  <sheetData>
    <row r="1" spans="1:17" x14ac:dyDescent="0.2">
      <c r="A1" s="1" t="s">
        <v>146</v>
      </c>
      <c r="B1" s="1" t="s">
        <v>175</v>
      </c>
      <c r="C1" s="1" t="s">
        <v>147</v>
      </c>
      <c r="D1" s="1" t="s">
        <v>176</v>
      </c>
      <c r="E1" s="1" t="s">
        <v>177</v>
      </c>
      <c r="F1" s="89" t="s">
        <v>178</v>
      </c>
      <c r="G1" s="86" t="s">
        <v>179</v>
      </c>
      <c r="H1" s="86" t="s">
        <v>180</v>
      </c>
      <c r="I1" s="86" t="s">
        <v>181</v>
      </c>
      <c r="J1" s="86" t="s">
        <v>182</v>
      </c>
      <c r="K1" s="86" t="s">
        <v>183</v>
      </c>
      <c r="L1" s="88" t="s">
        <v>184</v>
      </c>
      <c r="M1" s="1" t="s">
        <v>185</v>
      </c>
      <c r="N1" s="1" t="s">
        <v>186</v>
      </c>
      <c r="O1" s="82" t="s">
        <v>187</v>
      </c>
      <c r="P1" s="1" t="s">
        <v>188</v>
      </c>
      <c r="Q1" s="1" t="s">
        <v>189</v>
      </c>
    </row>
    <row r="2" spans="1:17" x14ac:dyDescent="0.2">
      <c r="A2" s="1" t="s">
        <v>153</v>
      </c>
      <c r="B2" s="1">
        <v>510300</v>
      </c>
      <c r="C2" s="1">
        <v>5.1420000000000003</v>
      </c>
      <c r="D2" s="81">
        <v>2.5000000000000001E-3</v>
      </c>
      <c r="E2" s="81">
        <v>-1.1999999999999999E-3</v>
      </c>
      <c r="F2" s="85">
        <v>325210.17</v>
      </c>
      <c r="G2" s="86">
        <v>-0.1145</v>
      </c>
      <c r="H2" s="86">
        <v>-1.46E-2</v>
      </c>
      <c r="I2" s="86">
        <v>0.2989</v>
      </c>
      <c r="J2" s="86">
        <v>0.31180000000000002</v>
      </c>
      <c r="K2" s="86">
        <v>0.84689999999999999</v>
      </c>
      <c r="L2" s="83">
        <v>457.48</v>
      </c>
      <c r="M2" s="81">
        <v>6.0000000000000001E-3</v>
      </c>
      <c r="N2" s="1" t="s">
        <v>190</v>
      </c>
      <c r="O2" s="82">
        <v>41057</v>
      </c>
      <c r="P2" s="1" t="s">
        <v>154</v>
      </c>
      <c r="Q2" s="1" t="s">
        <v>155</v>
      </c>
    </row>
    <row r="3" spans="1:17" x14ac:dyDescent="0.2">
      <c r="A3" s="1" t="s">
        <v>156</v>
      </c>
      <c r="B3" s="1">
        <v>512660</v>
      </c>
      <c r="C3" s="1">
        <v>1.0149999999999999</v>
      </c>
      <c r="D3" s="81">
        <v>-7.7999999999999996E-3</v>
      </c>
      <c r="E3" s="81">
        <v>0</v>
      </c>
      <c r="F3" s="85">
        <v>92167.679999999993</v>
      </c>
      <c r="G3" s="86">
        <v>-0.1449</v>
      </c>
      <c r="H3" s="86">
        <v>-0.21199999999999999</v>
      </c>
      <c r="I3" s="86">
        <v>0.1721</v>
      </c>
      <c r="J3" s="86">
        <v>0.24690000000000001</v>
      </c>
      <c r="K3" s="86" t="s">
        <v>157</v>
      </c>
      <c r="L3" s="83">
        <v>102.59</v>
      </c>
      <c r="M3" s="81">
        <v>6.0000000000000001E-3</v>
      </c>
      <c r="N3" s="1" t="s">
        <v>191</v>
      </c>
      <c r="O3" s="82">
        <v>42590</v>
      </c>
      <c r="P3" s="1" t="s">
        <v>158</v>
      </c>
      <c r="Q3" s="1" t="s">
        <v>159</v>
      </c>
    </row>
    <row r="4" spans="1:17" x14ac:dyDescent="0.2">
      <c r="A4" s="1" t="s">
        <v>86</v>
      </c>
      <c r="B4" s="1">
        <v>512690</v>
      </c>
      <c r="C4" s="1">
        <v>2.2690000000000001</v>
      </c>
      <c r="D4" s="81">
        <v>4.0000000000000001E-3</v>
      </c>
      <c r="E4" s="81">
        <v>3.0999999999999999E-3</v>
      </c>
      <c r="F4" s="85">
        <v>44092.639999999999</v>
      </c>
      <c r="G4" s="86">
        <v>-0.25509999999999999</v>
      </c>
      <c r="H4" s="86">
        <v>-0.15620000000000001</v>
      </c>
      <c r="I4" s="86">
        <v>0.99039999999999995</v>
      </c>
      <c r="J4" s="86" t="s">
        <v>157</v>
      </c>
      <c r="K4" s="86" t="s">
        <v>157</v>
      </c>
      <c r="L4" s="83">
        <v>26.83</v>
      </c>
      <c r="M4" s="81">
        <v>6.0000000000000001E-3</v>
      </c>
      <c r="N4" s="1" t="s">
        <v>192</v>
      </c>
      <c r="O4" s="82">
        <v>43591</v>
      </c>
      <c r="P4" s="1" t="s">
        <v>160</v>
      </c>
      <c r="Q4" s="1" t="s">
        <v>161</v>
      </c>
    </row>
    <row r="5" spans="1:17" x14ac:dyDescent="0.2">
      <c r="A5" s="1" t="s">
        <v>162</v>
      </c>
      <c r="B5" s="1">
        <v>512400</v>
      </c>
      <c r="C5" s="1">
        <v>1.1040000000000001</v>
      </c>
      <c r="D5" s="81">
        <v>-1.52E-2</v>
      </c>
      <c r="E5" s="81">
        <v>0</v>
      </c>
      <c r="F5" s="85">
        <v>59266.42</v>
      </c>
      <c r="G5" s="86">
        <v>-2.6499999999999999E-2</v>
      </c>
      <c r="H5" s="86">
        <v>8.3400000000000002E-2</v>
      </c>
      <c r="I5" s="86">
        <v>0.55059999999999998</v>
      </c>
      <c r="J5" s="86">
        <v>0.2039</v>
      </c>
      <c r="K5" s="86" t="s">
        <v>157</v>
      </c>
      <c r="L5" s="83">
        <v>44.41</v>
      </c>
      <c r="M5" s="81">
        <v>6.0000000000000001E-3</v>
      </c>
      <c r="N5" s="1" t="s">
        <v>193</v>
      </c>
      <c r="O5" s="82">
        <v>42979</v>
      </c>
      <c r="P5" s="1" t="s">
        <v>163</v>
      </c>
      <c r="Q5" s="1" t="s">
        <v>164</v>
      </c>
    </row>
    <row r="6" spans="1:17" x14ac:dyDescent="0.2">
      <c r="A6" s="1" t="s">
        <v>165</v>
      </c>
      <c r="B6" s="1">
        <v>159949</v>
      </c>
      <c r="C6" s="1">
        <v>1.1779999999999999</v>
      </c>
      <c r="D6" s="81">
        <v>7.7000000000000002E-3</v>
      </c>
      <c r="E6" s="81">
        <v>8.0000000000000004E-4</v>
      </c>
      <c r="F6" s="85">
        <v>220237.52</v>
      </c>
      <c r="G6" s="86">
        <v>-0.2019</v>
      </c>
      <c r="H6" s="86">
        <v>-5.5300000000000002E-2</v>
      </c>
      <c r="I6" s="86">
        <v>0.51219999999999999</v>
      </c>
      <c r="J6" s="86">
        <v>0.64990000000000003</v>
      </c>
      <c r="K6" s="86" t="s">
        <v>157</v>
      </c>
      <c r="L6" s="83">
        <v>104.97</v>
      </c>
      <c r="M6" s="81">
        <v>6.0000000000000001E-3</v>
      </c>
      <c r="N6" s="1" t="s">
        <v>194</v>
      </c>
      <c r="O6" s="82">
        <v>42573</v>
      </c>
      <c r="P6" s="1" t="s">
        <v>166</v>
      </c>
      <c r="Q6" s="1" t="s">
        <v>167</v>
      </c>
    </row>
    <row r="7" spans="1:17" x14ac:dyDescent="0.2">
      <c r="A7" s="1" t="s">
        <v>72</v>
      </c>
      <c r="B7" s="1">
        <v>515790</v>
      </c>
      <c r="C7" s="1">
        <v>1.0529999999999999</v>
      </c>
      <c r="D7" s="81">
        <v>1.6400000000000001E-2</v>
      </c>
      <c r="E7" s="81">
        <v>-1.9E-3</v>
      </c>
      <c r="F7" s="85">
        <v>80694</v>
      </c>
      <c r="G7" s="86">
        <v>-0.1767</v>
      </c>
      <c r="H7" s="86">
        <v>-7.3099999999999998E-2</v>
      </c>
      <c r="I7" s="86" t="s">
        <v>157</v>
      </c>
      <c r="J7" s="86" t="s">
        <v>157</v>
      </c>
      <c r="K7" s="86" t="s">
        <v>157</v>
      </c>
      <c r="L7" s="83">
        <v>17.190000000000001</v>
      </c>
      <c r="M7" s="81">
        <v>6.0000000000000001E-3</v>
      </c>
      <c r="N7" s="1" t="s">
        <v>195</v>
      </c>
      <c r="O7" s="82">
        <v>44183</v>
      </c>
      <c r="P7" s="1" t="s">
        <v>154</v>
      </c>
      <c r="Q7" s="1" t="s">
        <v>168</v>
      </c>
    </row>
    <row r="8" spans="1:17" x14ac:dyDescent="0.2">
      <c r="A8" s="1" t="s">
        <v>108</v>
      </c>
      <c r="B8" s="1">
        <v>512880</v>
      </c>
      <c r="C8" s="1">
        <v>1.056</v>
      </c>
      <c r="D8" s="81">
        <v>0</v>
      </c>
      <c r="E8" s="81">
        <v>0</v>
      </c>
      <c r="F8" s="85">
        <v>174837.06</v>
      </c>
      <c r="G8" s="86">
        <v>-6.8000000000000005E-2</v>
      </c>
      <c r="H8" s="86">
        <v>-0.1358</v>
      </c>
      <c r="I8" s="86">
        <v>1.83E-2</v>
      </c>
      <c r="J8" s="86">
        <v>0.1404</v>
      </c>
      <c r="K8" s="86" t="s">
        <v>157</v>
      </c>
      <c r="L8" s="83">
        <v>389.05</v>
      </c>
      <c r="M8" s="81">
        <v>6.0000000000000001E-3</v>
      </c>
      <c r="N8" s="1" t="s">
        <v>196</v>
      </c>
      <c r="O8" s="82">
        <v>42590</v>
      </c>
      <c r="P8" s="1" t="s">
        <v>158</v>
      </c>
      <c r="Q8" s="1" t="s">
        <v>169</v>
      </c>
    </row>
    <row r="9" spans="1:17" x14ac:dyDescent="0.2">
      <c r="A9" s="1" t="s">
        <v>170</v>
      </c>
      <c r="B9" s="1">
        <v>588000</v>
      </c>
      <c r="C9" s="1">
        <v>1.298</v>
      </c>
      <c r="D9" s="81">
        <v>-4.5999999999999999E-3</v>
      </c>
      <c r="E9" s="81">
        <v>0</v>
      </c>
      <c r="F9" s="85">
        <v>103687</v>
      </c>
      <c r="G9" s="86">
        <v>-0.12180000000000001</v>
      </c>
      <c r="H9" s="86">
        <v>-9.4799999999999995E-2</v>
      </c>
      <c r="I9" s="86" t="s">
        <v>157</v>
      </c>
      <c r="J9" s="86" t="s">
        <v>157</v>
      </c>
      <c r="K9" s="86" t="s">
        <v>157</v>
      </c>
      <c r="L9" s="83">
        <v>124.58</v>
      </c>
      <c r="M9" s="81">
        <v>6.0000000000000001E-3</v>
      </c>
      <c r="N9" s="1" t="s">
        <v>197</v>
      </c>
      <c r="O9" s="82">
        <v>44151</v>
      </c>
      <c r="P9" s="1" t="s">
        <v>171</v>
      </c>
      <c r="Q9" s="1" t="s">
        <v>167</v>
      </c>
    </row>
    <row r="10" spans="1:17" x14ac:dyDescent="0.2">
      <c r="A10" s="1" t="s">
        <v>172</v>
      </c>
      <c r="B10" s="1">
        <v>159928</v>
      </c>
      <c r="C10" s="1">
        <v>4.7969999999999997</v>
      </c>
      <c r="D10" s="81">
        <v>-2.5000000000000001E-3</v>
      </c>
      <c r="E10" s="81">
        <v>-8.0000000000000004E-4</v>
      </c>
      <c r="F10" s="85">
        <v>11391.97</v>
      </c>
      <c r="G10" s="86">
        <v>-0.20380000000000001</v>
      </c>
      <c r="H10" s="86">
        <v>-8.0199999999999994E-2</v>
      </c>
      <c r="I10" s="86">
        <v>0.52869999999999995</v>
      </c>
      <c r="J10" s="86">
        <v>1.0615000000000001</v>
      </c>
      <c r="K10" s="86">
        <v>2.9710000000000001</v>
      </c>
      <c r="L10" s="83">
        <v>84.08</v>
      </c>
      <c r="M10" s="81">
        <v>6.0000000000000001E-3</v>
      </c>
      <c r="N10" s="1" t="s">
        <v>198</v>
      </c>
      <c r="O10" s="82">
        <v>41533</v>
      </c>
      <c r="P10" s="1" t="s">
        <v>173</v>
      </c>
      <c r="Q10" s="1" t="s">
        <v>174</v>
      </c>
    </row>
    <row r="11" spans="1:17" x14ac:dyDescent="0.2">
      <c r="A11" s="1" t="s">
        <v>89</v>
      </c>
      <c r="B11" s="1">
        <v>512170</v>
      </c>
      <c r="C11" s="1">
        <v>0.74299999999999999</v>
      </c>
      <c r="D11" s="81">
        <v>2.7000000000000001E-3</v>
      </c>
      <c r="E11" s="81">
        <v>1.2999999999999999E-3</v>
      </c>
      <c r="F11" s="85">
        <v>11745.09</v>
      </c>
      <c r="G11" s="86">
        <v>-0.20979999999999999</v>
      </c>
      <c r="H11" s="86">
        <v>-5.2699999999999997E-2</v>
      </c>
      <c r="I11" s="86">
        <v>0.44750000000000001</v>
      </c>
      <c r="J11" s="86" t="s">
        <v>157</v>
      </c>
      <c r="K11" s="86" t="s">
        <v>157</v>
      </c>
      <c r="L11" s="83">
        <v>12.82</v>
      </c>
      <c r="M11" s="81">
        <v>6.0000000000000001E-3</v>
      </c>
      <c r="N11" s="1" t="s">
        <v>199</v>
      </c>
      <c r="O11" s="82">
        <v>43633</v>
      </c>
      <c r="P11" s="1" t="s">
        <v>200</v>
      </c>
      <c r="Q11" s="1" t="s">
        <v>201</v>
      </c>
    </row>
    <row r="12" spans="1:17" x14ac:dyDescent="0.2">
      <c r="A12" s="1" t="s">
        <v>85</v>
      </c>
      <c r="B12" s="1">
        <v>159995</v>
      </c>
      <c r="C12" s="1">
        <v>1.1339999999999999</v>
      </c>
      <c r="D12" s="81">
        <v>-1.7299999999999999E-2</v>
      </c>
      <c r="E12" s="81">
        <v>0</v>
      </c>
      <c r="F12" s="85">
        <v>105633.54</v>
      </c>
      <c r="G12" s="86">
        <v>-0.1071</v>
      </c>
      <c r="H12" s="86">
        <v>-7.0499999999999993E-2</v>
      </c>
      <c r="I12" s="86">
        <v>8.4099999999999994E-2</v>
      </c>
      <c r="J12" s="86" t="s">
        <v>157</v>
      </c>
      <c r="K12" s="86" t="s">
        <v>157</v>
      </c>
      <c r="L12" s="83">
        <v>238.72</v>
      </c>
      <c r="M12" s="81">
        <v>6.0000000000000001E-3</v>
      </c>
      <c r="N12" s="1" t="s">
        <v>202</v>
      </c>
      <c r="O12" s="82">
        <v>43871</v>
      </c>
      <c r="P12" s="1" t="s">
        <v>171</v>
      </c>
      <c r="Q12" s="1" t="s">
        <v>203</v>
      </c>
    </row>
    <row r="13" spans="1:17" x14ac:dyDescent="0.2">
      <c r="A13" s="1" t="s">
        <v>204</v>
      </c>
      <c r="B13" s="1">
        <v>510500</v>
      </c>
      <c r="C13" s="1">
        <v>6.8970000000000002</v>
      </c>
      <c r="D13" s="81">
        <v>6.9999999999999999E-4</v>
      </c>
      <c r="E13" s="81">
        <v>0</v>
      </c>
      <c r="F13" s="85">
        <v>208762.58</v>
      </c>
      <c r="G13" s="86">
        <v>-4.4999999999999998E-2</v>
      </c>
      <c r="H13" s="86">
        <v>-2.07E-2</v>
      </c>
      <c r="I13" s="86">
        <v>0.1419</v>
      </c>
      <c r="J13" s="86">
        <v>5.3900000000000003E-2</v>
      </c>
      <c r="K13" s="86">
        <v>0.21060000000000001</v>
      </c>
      <c r="L13" s="83">
        <v>382.37</v>
      </c>
      <c r="M13" s="81">
        <v>6.0000000000000001E-3</v>
      </c>
      <c r="N13" s="1" t="s">
        <v>205</v>
      </c>
      <c r="O13" s="82">
        <v>41348</v>
      </c>
      <c r="P13" s="1" t="s">
        <v>163</v>
      </c>
      <c r="Q13" s="1" t="s">
        <v>167</v>
      </c>
    </row>
    <row r="14" spans="1:17" x14ac:dyDescent="0.2">
      <c r="A14" s="1" t="s">
        <v>206</v>
      </c>
      <c r="B14" s="1">
        <v>513050</v>
      </c>
      <c r="C14" s="1">
        <v>2.2170000000000001</v>
      </c>
      <c r="D14" s="81">
        <v>5.4000000000000003E-3</v>
      </c>
      <c r="E14" s="81">
        <v>-9.4000000000000004E-3</v>
      </c>
      <c r="F14" s="85">
        <v>79774.78</v>
      </c>
      <c r="G14" s="86">
        <v>-0.13739999999999999</v>
      </c>
      <c r="H14" s="86">
        <v>5.8200000000000002E-2</v>
      </c>
      <c r="I14" s="86">
        <v>0.57909999999999995</v>
      </c>
      <c r="J14" s="86">
        <v>0.4103</v>
      </c>
      <c r="K14" s="86" t="s">
        <v>157</v>
      </c>
      <c r="L14" s="83">
        <v>55.41</v>
      </c>
      <c r="M14" s="81">
        <v>8.5000000000000006E-3</v>
      </c>
      <c r="N14" s="1" t="s">
        <v>207</v>
      </c>
      <c r="O14" s="82">
        <v>42753</v>
      </c>
      <c r="P14" s="1" t="s">
        <v>208</v>
      </c>
      <c r="Q14" s="1" t="s">
        <v>209</v>
      </c>
    </row>
    <row r="15" spans="1:17" x14ac:dyDescent="0.2">
      <c r="A15" s="1" t="s">
        <v>210</v>
      </c>
      <c r="B15" s="1">
        <v>515030</v>
      </c>
      <c r="C15" s="1">
        <v>1.512</v>
      </c>
      <c r="D15" s="81">
        <v>8.6999999999999994E-3</v>
      </c>
      <c r="E15" s="81">
        <v>1.2999999999999999E-3</v>
      </c>
      <c r="F15" s="85">
        <v>42144.57</v>
      </c>
      <c r="G15" s="86">
        <v>-0.1477</v>
      </c>
      <c r="H15" s="86">
        <v>-9.1300000000000006E-2</v>
      </c>
      <c r="I15" s="86">
        <v>0.62580000000000002</v>
      </c>
      <c r="J15" s="86" t="s">
        <v>157</v>
      </c>
      <c r="K15" s="86" t="s">
        <v>157</v>
      </c>
      <c r="L15" s="83">
        <v>82.57</v>
      </c>
      <c r="M15" s="81">
        <v>6.0000000000000001E-3</v>
      </c>
      <c r="N15" s="1" t="s">
        <v>211</v>
      </c>
      <c r="O15" s="82">
        <v>43894</v>
      </c>
      <c r="P15" s="1" t="s">
        <v>171</v>
      </c>
      <c r="Q15" s="1" t="s">
        <v>212</v>
      </c>
    </row>
    <row r="16" spans="1:17" x14ac:dyDescent="0.2">
      <c r="A16" s="1" t="s">
        <v>84</v>
      </c>
      <c r="B16" s="1">
        <v>512800</v>
      </c>
      <c r="C16" s="1">
        <v>1.2669999999999999</v>
      </c>
      <c r="D16" s="81">
        <v>1.04E-2</v>
      </c>
      <c r="E16" s="81">
        <v>-8.0000000000000004E-4</v>
      </c>
      <c r="F16" s="85">
        <v>41144.83</v>
      </c>
      <c r="G16" s="86">
        <v>-1.0200000000000001E-2</v>
      </c>
      <c r="H16" s="86">
        <v>0.1066</v>
      </c>
      <c r="I16" s="86">
        <v>0.23130000000000001</v>
      </c>
      <c r="J16" s="86">
        <v>0.19639999999999999</v>
      </c>
      <c r="K16" s="86" t="s">
        <v>157</v>
      </c>
      <c r="L16" s="83">
        <v>92.31</v>
      </c>
      <c r="M16" s="81">
        <v>6.0000000000000001E-3</v>
      </c>
      <c r="N16" s="1" t="s">
        <v>213</v>
      </c>
      <c r="O16" s="82">
        <v>42950</v>
      </c>
      <c r="P16" s="1" t="s">
        <v>200</v>
      </c>
      <c r="Q16" s="1" t="s">
        <v>214</v>
      </c>
    </row>
    <row r="17" spans="1:17" x14ac:dyDescent="0.2">
      <c r="A17" s="1" t="s">
        <v>141</v>
      </c>
      <c r="B17" s="1">
        <v>159915</v>
      </c>
      <c r="C17" s="1">
        <v>2.6579999999999999</v>
      </c>
      <c r="D17" s="81">
        <v>3.0000000000000001E-3</v>
      </c>
      <c r="E17" s="81">
        <v>-1.1000000000000001E-3</v>
      </c>
      <c r="F17" s="85">
        <v>162530.35999999999</v>
      </c>
      <c r="G17" s="86">
        <v>-0.1928</v>
      </c>
      <c r="H17" s="86">
        <v>-7.2599999999999998E-2</v>
      </c>
      <c r="I17" s="86">
        <v>0.31319999999999998</v>
      </c>
      <c r="J17" s="86">
        <v>0.51449999999999996</v>
      </c>
      <c r="K17" s="86">
        <v>0.44929999999999998</v>
      </c>
      <c r="L17" s="83">
        <v>155.93</v>
      </c>
      <c r="M17" s="81">
        <v>6.0000000000000001E-3</v>
      </c>
      <c r="N17" s="1" t="s">
        <v>215</v>
      </c>
      <c r="O17" s="82">
        <v>40886</v>
      </c>
      <c r="P17" s="1" t="s">
        <v>208</v>
      </c>
      <c r="Q17" s="1" t="s">
        <v>167</v>
      </c>
    </row>
    <row r="18" spans="1:17" x14ac:dyDescent="0.2">
      <c r="A18" s="1" t="s">
        <v>216</v>
      </c>
      <c r="B18" s="1">
        <v>512200</v>
      </c>
      <c r="C18" s="1">
        <v>0.84699999999999998</v>
      </c>
      <c r="D18" s="81">
        <v>1.7999999999999999E-2</v>
      </c>
      <c r="E18" s="81">
        <v>2.3999999999999998E-3</v>
      </c>
      <c r="F18" s="85">
        <v>7462.62</v>
      </c>
      <c r="G18" s="86">
        <v>6.4100000000000004E-2</v>
      </c>
      <c r="H18" s="86">
        <v>-1.4E-2</v>
      </c>
      <c r="I18" s="86">
        <v>-2.98E-2</v>
      </c>
      <c r="J18" s="86">
        <v>-0.15640000000000001</v>
      </c>
      <c r="K18" s="86" t="s">
        <v>157</v>
      </c>
      <c r="L18" s="83">
        <v>19.48</v>
      </c>
      <c r="M18" s="81">
        <v>6.0000000000000001E-3</v>
      </c>
      <c r="N18" s="1" t="s">
        <v>217</v>
      </c>
      <c r="O18" s="82">
        <v>43003</v>
      </c>
      <c r="P18" s="1" t="s">
        <v>163</v>
      </c>
      <c r="Q18" s="1" t="s">
        <v>218</v>
      </c>
    </row>
    <row r="19" spans="1:17" x14ac:dyDescent="0.2">
      <c r="A19" s="1" t="s">
        <v>219</v>
      </c>
      <c r="B19" s="1">
        <v>159967</v>
      </c>
      <c r="C19" s="1">
        <v>0.61299999999999999</v>
      </c>
      <c r="D19" s="81">
        <v>1.1599999999999999E-2</v>
      </c>
      <c r="E19" s="81">
        <v>0</v>
      </c>
      <c r="F19" s="85">
        <v>29341.69</v>
      </c>
      <c r="G19" s="86">
        <v>-0.22309999999999999</v>
      </c>
      <c r="H19" s="86">
        <v>-6.8400000000000002E-2</v>
      </c>
      <c r="I19" s="86">
        <v>0.58520000000000005</v>
      </c>
      <c r="J19" s="86" t="s">
        <v>157</v>
      </c>
      <c r="K19" s="86" t="s">
        <v>157</v>
      </c>
      <c r="L19" s="83">
        <v>13.55</v>
      </c>
      <c r="M19" s="81">
        <v>6.0000000000000001E-3</v>
      </c>
      <c r="N19" s="1" t="s">
        <v>220</v>
      </c>
      <c r="O19" s="82">
        <v>43661</v>
      </c>
      <c r="P19" s="1" t="s">
        <v>171</v>
      </c>
      <c r="Q19" s="1" t="s">
        <v>221</v>
      </c>
    </row>
    <row r="20" spans="1:17" x14ac:dyDescent="0.2">
      <c r="A20" s="1" t="s">
        <v>79</v>
      </c>
      <c r="B20" s="1">
        <v>515210</v>
      </c>
      <c r="C20" s="1">
        <v>1.5069999999999999</v>
      </c>
      <c r="D20" s="81">
        <v>3.3E-3</v>
      </c>
      <c r="E20" s="81">
        <v>0</v>
      </c>
      <c r="F20" s="85">
        <v>9886.9699999999993</v>
      </c>
      <c r="G20" s="86">
        <v>0.19700000000000001</v>
      </c>
      <c r="H20" s="86">
        <v>0.22220000000000001</v>
      </c>
      <c r="I20" s="86">
        <v>0.4476</v>
      </c>
      <c r="J20" s="86" t="s">
        <v>157</v>
      </c>
      <c r="K20" s="86" t="s">
        <v>157</v>
      </c>
      <c r="L20" s="83">
        <v>2.48</v>
      </c>
      <c r="M20" s="81">
        <v>6.0000000000000001E-3</v>
      </c>
      <c r="N20" s="1" t="s">
        <v>222</v>
      </c>
      <c r="O20" s="82">
        <v>43892</v>
      </c>
      <c r="P20" s="1" t="s">
        <v>158</v>
      </c>
      <c r="Q20" s="1" t="s">
        <v>223</v>
      </c>
    </row>
    <row r="21" spans="1:17" x14ac:dyDescent="0.2">
      <c r="A21" s="1" t="s">
        <v>224</v>
      </c>
      <c r="B21" s="1">
        <v>512480</v>
      </c>
      <c r="C21" s="1">
        <v>1.8109999999999999</v>
      </c>
      <c r="D21" s="81">
        <v>-2.4199999999999999E-2</v>
      </c>
      <c r="E21" s="81">
        <v>1.1000000000000001E-3</v>
      </c>
      <c r="F21" s="85">
        <v>39575.839999999997</v>
      </c>
      <c r="G21" s="86">
        <v>-0.1118</v>
      </c>
      <c r="H21" s="86">
        <v>-0.13800000000000001</v>
      </c>
      <c r="I21" s="86">
        <v>-3.3099999999999997E-2</v>
      </c>
      <c r="J21" s="86" t="s">
        <v>157</v>
      </c>
      <c r="K21" s="86" t="s">
        <v>157</v>
      </c>
      <c r="L21" s="83">
        <v>105.54</v>
      </c>
      <c r="M21" s="81">
        <v>6.0000000000000001E-3</v>
      </c>
      <c r="N21" s="1" t="s">
        <v>225</v>
      </c>
      <c r="O21" s="82">
        <v>43628</v>
      </c>
      <c r="P21" s="1" t="s">
        <v>226</v>
      </c>
      <c r="Q21" s="1" t="s">
        <v>203</v>
      </c>
    </row>
    <row r="22" spans="1:17" x14ac:dyDescent="0.2">
      <c r="A22" s="1" t="s">
        <v>227</v>
      </c>
      <c r="B22" s="1">
        <v>518880</v>
      </c>
      <c r="C22" s="1">
        <v>3.524</v>
      </c>
      <c r="D22" s="81">
        <v>-1.37E-2</v>
      </c>
      <c r="E22" s="81">
        <v>-5.9999999999999995E-4</v>
      </c>
      <c r="F22" s="85">
        <v>144754.94</v>
      </c>
      <c r="G22" s="86">
        <v>-6.1800000000000001E-2</v>
      </c>
      <c r="H22" s="86">
        <v>-8.4699999999999998E-2</v>
      </c>
      <c r="I22" s="86">
        <v>-3.4000000000000002E-2</v>
      </c>
      <c r="J22" s="86">
        <v>0.30520000000000003</v>
      </c>
      <c r="K22" s="86">
        <v>0.32929999999999998</v>
      </c>
      <c r="L22" s="83">
        <v>102.81</v>
      </c>
      <c r="M22" s="81">
        <v>6.0000000000000001E-3</v>
      </c>
      <c r="N22" s="1" t="s">
        <v>228</v>
      </c>
      <c r="O22" s="82">
        <v>41484</v>
      </c>
      <c r="P22" s="1" t="s">
        <v>166</v>
      </c>
      <c r="Q22" s="1" t="s">
        <v>229</v>
      </c>
    </row>
    <row r="23" spans="1:17" x14ac:dyDescent="0.2">
      <c r="A23" s="1" t="s">
        <v>230</v>
      </c>
      <c r="B23" s="1">
        <v>515650</v>
      </c>
      <c r="C23" s="1">
        <v>1.6539999999999999</v>
      </c>
      <c r="D23" s="81">
        <v>2.3999999999999998E-3</v>
      </c>
      <c r="E23" s="81">
        <v>0</v>
      </c>
      <c r="F23" s="85">
        <v>9146.9599999999991</v>
      </c>
      <c r="G23" s="86">
        <v>-0.1986</v>
      </c>
      <c r="H23" s="86">
        <v>-4.3900000000000002E-2</v>
      </c>
      <c r="I23" s="86">
        <v>0.68089999999999995</v>
      </c>
      <c r="J23" s="86" t="s">
        <v>157</v>
      </c>
      <c r="K23" s="86" t="s">
        <v>157</v>
      </c>
      <c r="L23" s="83">
        <v>12.93</v>
      </c>
      <c r="M23" s="81">
        <v>6.0000000000000001E-3</v>
      </c>
      <c r="N23" s="1" t="s">
        <v>231</v>
      </c>
      <c r="O23" s="82">
        <v>43780</v>
      </c>
      <c r="P23" s="1" t="s">
        <v>232</v>
      </c>
      <c r="Q23" s="1" t="s">
        <v>174</v>
      </c>
    </row>
    <row r="24" spans="1:17" x14ac:dyDescent="0.2">
      <c r="A24" s="1" t="s">
        <v>24</v>
      </c>
      <c r="B24" s="1">
        <v>513100</v>
      </c>
      <c r="C24" s="1">
        <v>4.3239999999999998</v>
      </c>
      <c r="D24" s="81">
        <v>6.3E-3</v>
      </c>
      <c r="E24" s="81">
        <v>-8.0000000000000002E-3</v>
      </c>
      <c r="F24" s="85">
        <v>7325.4</v>
      </c>
      <c r="G24" s="86">
        <v>-5.0299999999999997E-2</v>
      </c>
      <c r="H24" s="86">
        <v>-1.17E-2</v>
      </c>
      <c r="I24" s="86">
        <v>0.31269999999999998</v>
      </c>
      <c r="J24" s="86">
        <v>0.86460000000000004</v>
      </c>
      <c r="K24" s="86">
        <v>1.9177</v>
      </c>
      <c r="L24" s="83">
        <v>16</v>
      </c>
      <c r="M24" s="81">
        <v>8.0000000000000002E-3</v>
      </c>
      <c r="N24" s="1" t="s">
        <v>233</v>
      </c>
      <c r="O24" s="82">
        <v>41409</v>
      </c>
      <c r="P24" s="1" t="s">
        <v>158</v>
      </c>
      <c r="Q24" s="1" t="s">
        <v>234</v>
      </c>
    </row>
    <row r="25" spans="1:17" x14ac:dyDescent="0.2">
      <c r="A25" s="1" t="s">
        <v>85</v>
      </c>
      <c r="B25" s="1">
        <v>512760</v>
      </c>
      <c r="C25" s="1">
        <v>1.0880000000000001</v>
      </c>
      <c r="D25" s="81">
        <v>-1.54E-2</v>
      </c>
      <c r="E25" s="81">
        <v>8.9999999999999998E-4</v>
      </c>
      <c r="F25" s="85">
        <v>38887.22</v>
      </c>
      <c r="G25" s="86">
        <v>-0.1205</v>
      </c>
      <c r="H25" s="86">
        <v>-8.6499999999999994E-2</v>
      </c>
      <c r="I25" s="86">
        <v>8.1000000000000003E-2</v>
      </c>
      <c r="J25" s="86" t="s">
        <v>157</v>
      </c>
      <c r="K25" s="86" t="s">
        <v>157</v>
      </c>
      <c r="L25" s="83">
        <v>147.94999999999999</v>
      </c>
      <c r="M25" s="81">
        <v>6.0000000000000001E-3</v>
      </c>
      <c r="N25" s="1" t="s">
        <v>235</v>
      </c>
      <c r="O25" s="82">
        <v>43628</v>
      </c>
      <c r="P25" s="1" t="s">
        <v>158</v>
      </c>
      <c r="Q25" s="1" t="s">
        <v>203</v>
      </c>
    </row>
    <row r="26" spans="1:17" x14ac:dyDescent="0.2">
      <c r="A26" s="1" t="s">
        <v>96</v>
      </c>
      <c r="B26" s="1">
        <v>515050</v>
      </c>
      <c r="C26" s="1">
        <v>1.0389999999999999</v>
      </c>
      <c r="D26" s="81">
        <v>-1.89E-2</v>
      </c>
      <c r="E26" s="81">
        <v>-1E-3</v>
      </c>
      <c r="F26" s="85">
        <v>33476.97</v>
      </c>
      <c r="G26" s="86">
        <v>-9.6500000000000002E-2</v>
      </c>
      <c r="H26" s="86">
        <v>-0.12620000000000001</v>
      </c>
      <c r="I26" s="86">
        <v>-0.14419999999999999</v>
      </c>
      <c r="J26" s="86" t="s">
        <v>157</v>
      </c>
      <c r="K26" s="86" t="s">
        <v>157</v>
      </c>
      <c r="L26" s="83">
        <v>209.66</v>
      </c>
      <c r="M26" s="81">
        <v>6.0000000000000001E-3</v>
      </c>
      <c r="N26" s="1" t="s">
        <v>236</v>
      </c>
      <c r="O26" s="82">
        <v>43754</v>
      </c>
      <c r="P26" s="1" t="s">
        <v>171</v>
      </c>
      <c r="Q26" s="1" t="s">
        <v>237</v>
      </c>
    </row>
    <row r="27" spans="1:17" x14ac:dyDescent="0.2">
      <c r="A27" s="1" t="s">
        <v>238</v>
      </c>
      <c r="B27" s="1">
        <v>510880</v>
      </c>
      <c r="C27" s="1">
        <v>2.7269999999999999</v>
      </c>
      <c r="D27" s="81">
        <v>0.01</v>
      </c>
      <c r="E27" s="81">
        <v>-1.8E-3</v>
      </c>
      <c r="F27" s="85">
        <v>29350.31</v>
      </c>
      <c r="G27" s="86">
        <v>7.0699999999999999E-2</v>
      </c>
      <c r="H27" s="86">
        <v>4.9700000000000001E-2</v>
      </c>
      <c r="I27" s="86">
        <v>9.8699999999999996E-2</v>
      </c>
      <c r="J27" s="86">
        <v>1.7500000000000002E-2</v>
      </c>
      <c r="K27" s="86">
        <v>0.45490000000000003</v>
      </c>
      <c r="L27" s="83">
        <v>91.29</v>
      </c>
      <c r="M27" s="81">
        <v>6.0000000000000001E-3</v>
      </c>
      <c r="N27" s="1" t="s">
        <v>239</v>
      </c>
      <c r="O27" s="82">
        <v>39100</v>
      </c>
      <c r="P27" s="1" t="s">
        <v>154</v>
      </c>
      <c r="Q27" s="1" t="s">
        <v>240</v>
      </c>
    </row>
    <row r="28" spans="1:17" x14ac:dyDescent="0.2">
      <c r="A28" s="1" t="s">
        <v>31</v>
      </c>
      <c r="B28" s="1">
        <v>512010</v>
      </c>
      <c r="C28" s="1">
        <v>2.82</v>
      </c>
      <c r="D28" s="81">
        <v>1.1000000000000001E-3</v>
      </c>
      <c r="E28" s="81">
        <v>-6.9999999999999999E-4</v>
      </c>
      <c r="F28" s="85">
        <v>17114.080000000002</v>
      </c>
      <c r="G28" s="86">
        <v>-0.2079</v>
      </c>
      <c r="H28" s="86">
        <v>-6.0600000000000001E-2</v>
      </c>
      <c r="I28" s="86">
        <v>0.41420000000000001</v>
      </c>
      <c r="J28" s="86">
        <v>0.60409999999999997</v>
      </c>
      <c r="K28" s="86">
        <v>1.6063000000000001</v>
      </c>
      <c r="L28" s="83">
        <v>22.51</v>
      </c>
      <c r="M28" s="81">
        <v>6.0000000000000001E-3</v>
      </c>
      <c r="N28" s="1" t="s">
        <v>241</v>
      </c>
      <c r="O28" s="82">
        <v>41575</v>
      </c>
      <c r="P28" s="1" t="s">
        <v>208</v>
      </c>
      <c r="Q28" s="1" t="s">
        <v>201</v>
      </c>
    </row>
    <row r="29" spans="1:17" x14ac:dyDescent="0.2">
      <c r="A29" s="1" t="s">
        <v>242</v>
      </c>
      <c r="B29" s="1">
        <v>510050</v>
      </c>
      <c r="C29" s="1">
        <v>3.617</v>
      </c>
      <c r="D29" s="81">
        <v>8.0000000000000004E-4</v>
      </c>
      <c r="E29" s="81">
        <v>-1.1000000000000001E-3</v>
      </c>
      <c r="F29" s="85">
        <v>256687.45</v>
      </c>
      <c r="G29" s="86">
        <v>-9.8500000000000004E-2</v>
      </c>
      <c r="H29" s="86">
        <v>-4.7000000000000002E-3</v>
      </c>
      <c r="I29" s="86">
        <v>0.27679999999999999</v>
      </c>
      <c r="J29" s="86">
        <v>0.31059999999999999</v>
      </c>
      <c r="K29" s="86">
        <v>0.91700000000000004</v>
      </c>
      <c r="L29" s="83">
        <v>565.74</v>
      </c>
      <c r="M29" s="81">
        <v>6.0000000000000001E-3</v>
      </c>
      <c r="N29" s="1" t="s">
        <v>243</v>
      </c>
      <c r="O29" s="82">
        <v>38406</v>
      </c>
      <c r="P29" s="1" t="s">
        <v>171</v>
      </c>
      <c r="Q29" s="1" t="s">
        <v>155</v>
      </c>
    </row>
    <row r="30" spans="1:17" x14ac:dyDescent="0.2">
      <c r="A30" s="1" t="s">
        <v>244</v>
      </c>
      <c r="B30" s="1">
        <v>159825</v>
      </c>
      <c r="C30" s="1">
        <v>1.026</v>
      </c>
      <c r="D30" s="81">
        <v>-1.9E-3</v>
      </c>
      <c r="E30" s="81">
        <v>0</v>
      </c>
      <c r="F30" s="85">
        <v>5873.17</v>
      </c>
      <c r="G30" s="86">
        <v>-0.13489999999999999</v>
      </c>
      <c r="H30" s="86">
        <v>3.8999999999999998E-3</v>
      </c>
      <c r="I30" s="86" t="s">
        <v>157</v>
      </c>
      <c r="J30" s="86" t="s">
        <v>157</v>
      </c>
      <c r="K30" s="86" t="s">
        <v>157</v>
      </c>
      <c r="L30" s="83">
        <v>15.01</v>
      </c>
      <c r="M30" s="81">
        <v>6.0000000000000001E-3</v>
      </c>
      <c r="N30" s="1" t="s">
        <v>245</v>
      </c>
      <c r="O30" s="82">
        <v>44194</v>
      </c>
      <c r="P30" s="1" t="s">
        <v>232</v>
      </c>
      <c r="Q30" s="1" t="s">
        <v>246</v>
      </c>
    </row>
    <row r="31" spans="1:17" x14ac:dyDescent="0.2">
      <c r="A31" s="1" t="s">
        <v>247</v>
      </c>
      <c r="B31" s="1">
        <v>159992</v>
      </c>
      <c r="C31" s="1">
        <v>1.3049999999999999</v>
      </c>
      <c r="D31" s="81">
        <v>0</v>
      </c>
      <c r="E31" s="81">
        <v>-1.5E-3</v>
      </c>
      <c r="F31" s="85">
        <v>16531.39</v>
      </c>
      <c r="G31" s="86">
        <v>-0.18079999999999999</v>
      </c>
      <c r="H31" s="86">
        <v>-6.3799999999999996E-2</v>
      </c>
      <c r="I31" s="86" t="s">
        <v>157</v>
      </c>
      <c r="J31" s="86" t="s">
        <v>157</v>
      </c>
      <c r="K31" s="86" t="s">
        <v>157</v>
      </c>
      <c r="L31" s="83">
        <v>49.25</v>
      </c>
      <c r="M31" s="81">
        <v>5.4999999999999997E-3</v>
      </c>
      <c r="N31" s="1" t="s">
        <v>248</v>
      </c>
      <c r="O31" s="82">
        <v>43931</v>
      </c>
      <c r="P31" s="1" t="s">
        <v>249</v>
      </c>
      <c r="Q31" s="1" t="s">
        <v>201</v>
      </c>
    </row>
    <row r="32" spans="1:17" x14ac:dyDescent="0.2">
      <c r="A32" s="1" t="s">
        <v>250</v>
      </c>
      <c r="B32" s="1">
        <v>513330</v>
      </c>
      <c r="C32" s="1">
        <v>0.89700000000000002</v>
      </c>
      <c r="D32" s="81">
        <v>4.4999999999999997E-3</v>
      </c>
      <c r="E32" s="81">
        <v>-2.2000000000000001E-3</v>
      </c>
      <c r="F32" s="85">
        <v>97229.8</v>
      </c>
      <c r="G32" s="86">
        <v>-0.14080000000000001</v>
      </c>
      <c r="H32" s="86" t="s">
        <v>157</v>
      </c>
      <c r="I32" s="86" t="s">
        <v>157</v>
      </c>
      <c r="J32" s="86" t="s">
        <v>157</v>
      </c>
      <c r="K32" s="86" t="s">
        <v>157</v>
      </c>
      <c r="L32" s="83">
        <v>75.569999999999993</v>
      </c>
      <c r="M32" s="81">
        <v>6.4999999999999997E-3</v>
      </c>
      <c r="N32" s="1" t="s">
        <v>251</v>
      </c>
      <c r="O32" s="82">
        <v>44235</v>
      </c>
      <c r="P32" s="1" t="s">
        <v>171</v>
      </c>
      <c r="Q32" s="1" t="s">
        <v>252</v>
      </c>
    </row>
    <row r="33" spans="1:17" x14ac:dyDescent="0.2">
      <c r="A33" s="1" t="s">
        <v>253</v>
      </c>
      <c r="B33" s="1">
        <v>512710</v>
      </c>
      <c r="C33" s="1">
        <v>1.464</v>
      </c>
      <c r="D33" s="81">
        <v>-1.0800000000000001E-2</v>
      </c>
      <c r="E33" s="81">
        <v>0</v>
      </c>
      <c r="F33" s="85">
        <v>27264.2</v>
      </c>
      <c r="G33" s="86">
        <v>-0.16250000000000001</v>
      </c>
      <c r="H33" s="86">
        <v>-0.20039999999999999</v>
      </c>
      <c r="I33" s="86">
        <v>0.30020000000000002</v>
      </c>
      <c r="J33" s="86" t="s">
        <v>157</v>
      </c>
      <c r="K33" s="86" t="s">
        <v>157</v>
      </c>
      <c r="L33" s="83">
        <v>60.22</v>
      </c>
      <c r="M33" s="81">
        <v>6.0000000000000001E-3</v>
      </c>
      <c r="N33" s="1" t="s">
        <v>254</v>
      </c>
      <c r="O33" s="82">
        <v>43703</v>
      </c>
      <c r="P33" s="1" t="s">
        <v>232</v>
      </c>
      <c r="Q33" s="1" t="s">
        <v>159</v>
      </c>
    </row>
    <row r="34" spans="1:17" x14ac:dyDescent="0.2">
      <c r="A34" s="1" t="s">
        <v>255</v>
      </c>
      <c r="B34" s="1">
        <v>515880</v>
      </c>
      <c r="C34" s="1">
        <v>0.96899999999999997</v>
      </c>
      <c r="D34" s="81">
        <v>-8.2000000000000007E-3</v>
      </c>
      <c r="E34" s="81">
        <v>1E-3</v>
      </c>
      <c r="F34" s="85">
        <v>10113.129999999999</v>
      </c>
      <c r="G34" s="86">
        <v>-4.53E-2</v>
      </c>
      <c r="H34" s="86">
        <v>-7.5399999999999995E-2</v>
      </c>
      <c r="I34" s="86">
        <v>-0.25119999999999998</v>
      </c>
      <c r="J34" s="86" t="s">
        <v>157</v>
      </c>
      <c r="K34" s="86" t="s">
        <v>157</v>
      </c>
      <c r="L34" s="83">
        <v>27.75</v>
      </c>
      <c r="M34" s="81">
        <v>6.0000000000000001E-3</v>
      </c>
      <c r="N34" s="1" t="s">
        <v>256</v>
      </c>
      <c r="O34" s="82">
        <v>43714</v>
      </c>
      <c r="P34" s="1" t="s">
        <v>158</v>
      </c>
      <c r="Q34" s="1" t="s">
        <v>257</v>
      </c>
    </row>
    <row r="35" spans="1:17" x14ac:dyDescent="0.2">
      <c r="A35" s="1" t="s">
        <v>81</v>
      </c>
      <c r="B35" s="1">
        <v>515000</v>
      </c>
      <c r="C35" s="1">
        <v>1.667</v>
      </c>
      <c r="D35" s="81">
        <v>-6.0000000000000001E-3</v>
      </c>
      <c r="E35" s="81">
        <v>3.5999999999999999E-3</v>
      </c>
      <c r="F35" s="85">
        <v>17540.849999999999</v>
      </c>
      <c r="G35" s="86">
        <v>-0.1381</v>
      </c>
      <c r="H35" s="86">
        <v>-8.0500000000000002E-2</v>
      </c>
      <c r="I35" s="86">
        <v>0.12790000000000001</v>
      </c>
      <c r="J35" s="86" t="s">
        <v>157</v>
      </c>
      <c r="K35" s="86" t="s">
        <v>157</v>
      </c>
      <c r="L35" s="83">
        <v>85.33</v>
      </c>
      <c r="M35" s="81">
        <v>6.0000000000000001E-3</v>
      </c>
      <c r="N35" s="1" t="s">
        <v>258</v>
      </c>
      <c r="O35" s="82">
        <v>43693</v>
      </c>
      <c r="P35" s="1" t="s">
        <v>200</v>
      </c>
      <c r="Q35" s="1" t="s">
        <v>259</v>
      </c>
    </row>
    <row r="36" spans="1:17" x14ac:dyDescent="0.2">
      <c r="A36" s="1" t="s">
        <v>91</v>
      </c>
      <c r="B36" s="1">
        <v>512000</v>
      </c>
      <c r="C36" s="1">
        <v>1.01</v>
      </c>
      <c r="D36" s="81">
        <v>1E-3</v>
      </c>
      <c r="E36" s="81">
        <v>-1E-3</v>
      </c>
      <c r="F36" s="85">
        <v>104799.64</v>
      </c>
      <c r="G36" s="86">
        <v>-7.0000000000000007E-2</v>
      </c>
      <c r="H36" s="86">
        <v>-0.13450000000000001</v>
      </c>
      <c r="I36" s="86">
        <v>2.23E-2</v>
      </c>
      <c r="J36" s="86">
        <v>0.1517</v>
      </c>
      <c r="K36" s="86" t="s">
        <v>157</v>
      </c>
      <c r="L36" s="83">
        <v>229.58</v>
      </c>
      <c r="M36" s="81">
        <v>6.0000000000000001E-3</v>
      </c>
      <c r="N36" s="1" t="s">
        <v>196</v>
      </c>
      <c r="O36" s="82">
        <v>42627</v>
      </c>
      <c r="P36" s="1" t="s">
        <v>200</v>
      </c>
      <c r="Q36" s="1" t="s">
        <v>169</v>
      </c>
    </row>
    <row r="37" spans="1:17" x14ac:dyDescent="0.2">
      <c r="A37" s="1" t="s">
        <v>260</v>
      </c>
      <c r="B37" s="1">
        <v>159920</v>
      </c>
      <c r="C37" s="1">
        <v>1.522</v>
      </c>
      <c r="D37" s="81">
        <v>-3.8999999999999998E-3</v>
      </c>
      <c r="E37" s="81">
        <v>0</v>
      </c>
      <c r="F37" s="85">
        <v>158252.89000000001</v>
      </c>
      <c r="G37" s="86">
        <v>-0.02</v>
      </c>
      <c r="H37" s="86">
        <v>6.3600000000000004E-2</v>
      </c>
      <c r="I37" s="86">
        <v>9.5799999999999996E-2</v>
      </c>
      <c r="J37" s="86">
        <v>6.6E-3</v>
      </c>
      <c r="K37" s="86">
        <v>0.57830000000000004</v>
      </c>
      <c r="L37" s="83">
        <v>88.25</v>
      </c>
      <c r="M37" s="81">
        <v>7.4999999999999997E-3</v>
      </c>
      <c r="N37" s="1" t="s">
        <v>261</v>
      </c>
      <c r="O37" s="82">
        <v>41204</v>
      </c>
      <c r="P37" s="1" t="s">
        <v>171</v>
      </c>
      <c r="Q37" s="1" t="s">
        <v>262</v>
      </c>
    </row>
    <row r="38" spans="1:17" x14ac:dyDescent="0.2">
      <c r="A38" s="1" t="s">
        <v>87</v>
      </c>
      <c r="B38" s="1">
        <v>512670</v>
      </c>
      <c r="C38" s="1">
        <v>1.599</v>
      </c>
      <c r="D38" s="81">
        <v>-8.0999999999999996E-3</v>
      </c>
      <c r="E38" s="81">
        <v>0</v>
      </c>
      <c r="F38" s="85">
        <v>11391.97</v>
      </c>
      <c r="G38" s="86">
        <v>-0.1762</v>
      </c>
      <c r="H38" s="86">
        <v>-0.2316</v>
      </c>
      <c r="I38" s="86">
        <v>0.3085</v>
      </c>
      <c r="J38" s="86" t="s">
        <v>157</v>
      </c>
      <c r="K38" s="86" t="s">
        <v>157</v>
      </c>
      <c r="L38" s="83">
        <v>8.27</v>
      </c>
      <c r="M38" s="81">
        <v>4.0000000000000001E-3</v>
      </c>
      <c r="N38" s="1" t="s">
        <v>263</v>
      </c>
      <c r="O38" s="82">
        <v>43678</v>
      </c>
      <c r="P38" s="1" t="s">
        <v>160</v>
      </c>
      <c r="Q38" s="1" t="s">
        <v>159</v>
      </c>
    </row>
    <row r="39" spans="1:17" x14ac:dyDescent="0.2">
      <c r="A39" s="1" t="s">
        <v>264</v>
      </c>
      <c r="B39" s="1">
        <v>513500</v>
      </c>
      <c r="C39" s="1">
        <v>2.4129999999999998</v>
      </c>
      <c r="D39" s="81">
        <v>8.0000000000000004E-4</v>
      </c>
      <c r="E39" s="81">
        <v>-2.8999999999999998E-3</v>
      </c>
      <c r="F39" s="85">
        <v>6464.27</v>
      </c>
      <c r="G39" s="86">
        <v>1.2999999999999999E-2</v>
      </c>
      <c r="H39" s="86">
        <v>5.28E-2</v>
      </c>
      <c r="I39" s="86">
        <v>0.25090000000000001</v>
      </c>
      <c r="J39" s="86">
        <v>0.49880000000000002</v>
      </c>
      <c r="K39" s="86">
        <v>1.0176000000000001</v>
      </c>
      <c r="L39" s="83">
        <v>25.84</v>
      </c>
      <c r="M39" s="81">
        <v>8.5000000000000006E-3</v>
      </c>
      <c r="N39" s="1" t="s">
        <v>265</v>
      </c>
      <c r="O39" s="82">
        <v>41654</v>
      </c>
      <c r="P39" s="1" t="s">
        <v>266</v>
      </c>
      <c r="Q39" s="1" t="s">
        <v>234</v>
      </c>
    </row>
    <row r="40" spans="1:17" x14ac:dyDescent="0.2">
      <c r="A40" s="1" t="s">
        <v>78</v>
      </c>
      <c r="B40" s="1">
        <v>515220</v>
      </c>
      <c r="C40" s="1">
        <v>1.39</v>
      </c>
      <c r="D40" s="81">
        <v>1.3899999999999999E-2</v>
      </c>
      <c r="E40" s="81">
        <v>-1.4E-3</v>
      </c>
      <c r="F40" s="85">
        <v>9846.73</v>
      </c>
      <c r="G40" s="86">
        <v>0.13009999999999999</v>
      </c>
      <c r="H40" s="86">
        <v>5.8599999999999999E-2</v>
      </c>
      <c r="I40" s="86">
        <v>0.39979999999999999</v>
      </c>
      <c r="J40" s="86" t="s">
        <v>157</v>
      </c>
      <c r="K40" s="86" t="s">
        <v>157</v>
      </c>
      <c r="L40" s="83">
        <v>5.97</v>
      </c>
      <c r="M40" s="81">
        <v>6.0000000000000001E-3</v>
      </c>
      <c r="N40" s="1" t="s">
        <v>267</v>
      </c>
      <c r="O40" s="82">
        <v>43892</v>
      </c>
      <c r="P40" s="1" t="s">
        <v>158</v>
      </c>
      <c r="Q40" s="1" t="s">
        <v>268</v>
      </c>
    </row>
    <row r="41" spans="1:17" x14ac:dyDescent="0.2">
      <c r="A41" s="1" t="s">
        <v>269</v>
      </c>
      <c r="B41" s="1">
        <v>511010</v>
      </c>
      <c r="C41" s="1">
        <v>121.854</v>
      </c>
      <c r="D41" s="81">
        <v>1E-4</v>
      </c>
      <c r="E41" s="81">
        <v>2.0000000000000001E-4</v>
      </c>
      <c r="F41" s="85">
        <v>7957.41</v>
      </c>
      <c r="G41" s="86">
        <v>3.2000000000000002E-3</v>
      </c>
      <c r="H41" s="86">
        <v>4.4999999999999997E-3</v>
      </c>
      <c r="I41" s="86">
        <v>-6.1000000000000004E-3</v>
      </c>
      <c r="J41" s="86">
        <v>9.9199999999999997E-2</v>
      </c>
      <c r="K41" s="86">
        <v>9.8400000000000001E-2</v>
      </c>
      <c r="L41" s="83">
        <v>10.4</v>
      </c>
      <c r="M41" s="81">
        <v>4.0000000000000001E-3</v>
      </c>
      <c r="N41" s="1" t="s">
        <v>270</v>
      </c>
      <c r="O41" s="82">
        <v>41358</v>
      </c>
      <c r="P41" s="1" t="s">
        <v>158</v>
      </c>
      <c r="Q41" s="1" t="s">
        <v>271</v>
      </c>
    </row>
    <row r="42" spans="1:17" x14ac:dyDescent="0.2">
      <c r="A42" s="1" t="s">
        <v>272</v>
      </c>
      <c r="B42" s="1">
        <v>515700</v>
      </c>
      <c r="C42" s="1">
        <v>1.915</v>
      </c>
      <c r="D42" s="81">
        <v>4.1999999999999997E-3</v>
      </c>
      <c r="E42" s="81">
        <v>-1E-3</v>
      </c>
      <c r="F42" s="85">
        <v>27558.49</v>
      </c>
      <c r="G42" s="86">
        <v>-0.1749</v>
      </c>
      <c r="H42" s="86">
        <v>-7.9299999999999995E-2</v>
      </c>
      <c r="I42" s="86">
        <v>0.75209999999999999</v>
      </c>
      <c r="J42" s="86" t="s">
        <v>157</v>
      </c>
      <c r="K42" s="86" t="s">
        <v>157</v>
      </c>
      <c r="L42" s="83">
        <v>47.73</v>
      </c>
      <c r="M42" s="81">
        <v>2E-3</v>
      </c>
      <c r="N42" s="1" t="s">
        <v>273</v>
      </c>
      <c r="O42" s="82">
        <v>43871</v>
      </c>
      <c r="P42" s="1" t="s">
        <v>274</v>
      </c>
      <c r="Q42" s="1" t="s">
        <v>212</v>
      </c>
    </row>
    <row r="43" spans="1:17" x14ac:dyDescent="0.2">
      <c r="A43" s="1" t="s">
        <v>110</v>
      </c>
      <c r="B43" s="1">
        <v>512980</v>
      </c>
      <c r="C43" s="1">
        <v>0.81699999999999995</v>
      </c>
      <c r="D43" s="81">
        <v>-1.21E-2</v>
      </c>
      <c r="E43" s="81">
        <v>1.1999999999999999E-3</v>
      </c>
      <c r="F43" s="85">
        <v>6288.29</v>
      </c>
      <c r="G43" s="86">
        <v>-4.1099999999999998E-2</v>
      </c>
      <c r="H43" s="86">
        <v>-5.2200000000000003E-2</v>
      </c>
      <c r="I43" s="86">
        <v>-7.5800000000000006E-2</v>
      </c>
      <c r="J43" s="86">
        <v>-0.20449999999999999</v>
      </c>
      <c r="K43" s="86" t="s">
        <v>157</v>
      </c>
      <c r="L43" s="83">
        <v>25.14</v>
      </c>
      <c r="M43" s="81">
        <v>6.0000000000000001E-3</v>
      </c>
      <c r="N43" s="1" t="s">
        <v>275</v>
      </c>
      <c r="O43" s="82">
        <v>43119</v>
      </c>
      <c r="P43" s="1" t="s">
        <v>276</v>
      </c>
      <c r="Q43" s="1" t="s">
        <v>277</v>
      </c>
    </row>
    <row r="44" spans="1:17" x14ac:dyDescent="0.2">
      <c r="A44" s="1" t="s">
        <v>278</v>
      </c>
      <c r="B44" s="1">
        <v>515170</v>
      </c>
      <c r="C44" s="1">
        <v>0.82499999999999996</v>
      </c>
      <c r="D44" s="81">
        <v>-3.5999999999999999E-3</v>
      </c>
      <c r="E44" s="81">
        <v>-1.1999999999999999E-3</v>
      </c>
      <c r="F44" s="85">
        <v>19924.599999999999</v>
      </c>
      <c r="G44" s="86">
        <v>-0.22539999999999999</v>
      </c>
      <c r="H44" s="86" t="s">
        <v>157</v>
      </c>
      <c r="I44" s="86" t="s">
        <v>157</v>
      </c>
      <c r="J44" s="86" t="s">
        <v>157</v>
      </c>
      <c r="K44" s="86" t="s">
        <v>157</v>
      </c>
      <c r="L44" s="83">
        <v>21.5</v>
      </c>
      <c r="M44" s="81">
        <v>6.0000000000000001E-3</v>
      </c>
      <c r="N44" s="1" t="s">
        <v>279</v>
      </c>
      <c r="O44" s="82">
        <v>44209</v>
      </c>
      <c r="P44" s="1" t="s">
        <v>171</v>
      </c>
      <c r="Q44" s="1" t="s">
        <v>280</v>
      </c>
    </row>
    <row r="45" spans="1:17" x14ac:dyDescent="0.2">
      <c r="A45" s="1" t="s">
        <v>70</v>
      </c>
      <c r="B45" s="1">
        <v>159870</v>
      </c>
      <c r="C45" s="1">
        <v>0.92500000000000004</v>
      </c>
      <c r="D45" s="81">
        <v>1.8700000000000001E-2</v>
      </c>
      <c r="E45" s="81">
        <v>-2.2000000000000001E-3</v>
      </c>
      <c r="F45" s="85">
        <v>9337.31</v>
      </c>
      <c r="G45" s="86" t="s">
        <v>157</v>
      </c>
      <c r="H45" s="86" t="s">
        <v>157</v>
      </c>
      <c r="I45" s="86" t="s">
        <v>157</v>
      </c>
      <c r="J45" s="86" t="s">
        <v>157</v>
      </c>
      <c r="K45" s="86" t="s">
        <v>157</v>
      </c>
      <c r="L45" s="83">
        <v>19.98</v>
      </c>
      <c r="M45" s="81">
        <v>6.0000000000000001E-3</v>
      </c>
      <c r="N45" s="1" t="s">
        <v>281</v>
      </c>
      <c r="O45" s="82">
        <v>44258</v>
      </c>
      <c r="P45" s="1" t="s">
        <v>160</v>
      </c>
      <c r="Q45" s="1" t="s">
        <v>282</v>
      </c>
    </row>
    <row r="46" spans="1:17" x14ac:dyDescent="0.2">
      <c r="A46" s="1" t="s">
        <v>283</v>
      </c>
      <c r="B46" s="1">
        <v>512910</v>
      </c>
      <c r="C46" s="1">
        <v>1.506</v>
      </c>
      <c r="D46" s="81">
        <v>5.3E-3</v>
      </c>
      <c r="E46" s="81">
        <v>-6.9999999999999999E-4</v>
      </c>
      <c r="F46" s="85">
        <v>2602.4</v>
      </c>
      <c r="G46" s="86">
        <v>-0.1152</v>
      </c>
      <c r="H46" s="86">
        <v>6.9999999999999999E-4</v>
      </c>
      <c r="I46" s="86">
        <v>0.41539999999999999</v>
      </c>
      <c r="J46" s="86" t="s">
        <v>157</v>
      </c>
      <c r="K46" s="86" t="s">
        <v>157</v>
      </c>
      <c r="L46" s="83">
        <v>6.78</v>
      </c>
      <c r="M46" s="81">
        <v>6.0000000000000001E-3</v>
      </c>
      <c r="N46" s="1" t="s">
        <v>284</v>
      </c>
      <c r="O46" s="82">
        <v>43647</v>
      </c>
      <c r="P46" s="1" t="s">
        <v>276</v>
      </c>
      <c r="Q46" s="1" t="s">
        <v>155</v>
      </c>
    </row>
    <row r="47" spans="1:17" x14ac:dyDescent="0.2">
      <c r="A47" s="1" t="s">
        <v>285</v>
      </c>
      <c r="B47" s="1">
        <v>513550</v>
      </c>
      <c r="C47" s="1">
        <v>1.0580000000000001</v>
      </c>
      <c r="D47" s="81">
        <v>-1.9E-3</v>
      </c>
      <c r="E47" s="81">
        <v>1.9E-3</v>
      </c>
      <c r="F47" s="85">
        <v>35993.129999999997</v>
      </c>
      <c r="G47" s="86">
        <v>-3.4700000000000002E-2</v>
      </c>
      <c r="H47" s="86" t="s">
        <v>157</v>
      </c>
      <c r="I47" s="86" t="s">
        <v>157</v>
      </c>
      <c r="J47" s="86" t="s">
        <v>157</v>
      </c>
      <c r="K47" s="86" t="s">
        <v>157</v>
      </c>
      <c r="L47" s="83">
        <v>6.44</v>
      </c>
      <c r="M47" s="81">
        <v>6.0000000000000001E-3</v>
      </c>
      <c r="N47" s="1" t="s">
        <v>286</v>
      </c>
      <c r="O47" s="82">
        <v>44209</v>
      </c>
      <c r="P47" s="1" t="s">
        <v>154</v>
      </c>
      <c r="Q47" s="1" t="s">
        <v>262</v>
      </c>
    </row>
    <row r="48" spans="1:17" x14ac:dyDescent="0.2">
      <c r="A48" s="1" t="s">
        <v>287</v>
      </c>
      <c r="B48" s="1">
        <v>512100</v>
      </c>
      <c r="C48" s="1">
        <v>0.88500000000000001</v>
      </c>
      <c r="D48" s="81">
        <v>2.3E-3</v>
      </c>
      <c r="E48" s="81">
        <v>3.3999999999999998E-3</v>
      </c>
      <c r="F48" s="85">
        <v>8569.6200000000008</v>
      </c>
      <c r="G48" s="86">
        <v>-1.01E-2</v>
      </c>
      <c r="H48" s="86">
        <v>-5.6500000000000002E-2</v>
      </c>
      <c r="I48" s="86">
        <v>0.1118</v>
      </c>
      <c r="J48" s="86">
        <v>9.9400000000000002E-2</v>
      </c>
      <c r="K48" s="86" t="s">
        <v>157</v>
      </c>
      <c r="L48" s="83">
        <v>5.4</v>
      </c>
      <c r="M48" s="81">
        <v>6.0000000000000001E-3</v>
      </c>
      <c r="N48" s="1" t="s">
        <v>288</v>
      </c>
      <c r="O48" s="82">
        <v>42678</v>
      </c>
      <c r="P48" s="1" t="s">
        <v>163</v>
      </c>
      <c r="Q48" s="1" t="s">
        <v>167</v>
      </c>
    </row>
    <row r="49" spans="1:17" x14ac:dyDescent="0.2">
      <c r="A49" s="1" t="s">
        <v>289</v>
      </c>
      <c r="B49" s="1">
        <v>512580</v>
      </c>
      <c r="C49" s="1">
        <v>1.1990000000000001</v>
      </c>
      <c r="D49" s="81">
        <v>2.6499999999999999E-2</v>
      </c>
      <c r="E49" s="81">
        <v>8.0000000000000004E-4</v>
      </c>
      <c r="F49" s="85">
        <v>2338.14</v>
      </c>
      <c r="G49" s="86">
        <v>-0.12479999999999999</v>
      </c>
      <c r="H49" s="86">
        <v>-2.9100000000000001E-2</v>
      </c>
      <c r="I49" s="86">
        <v>0.4007</v>
      </c>
      <c r="J49" s="86">
        <v>0.25950000000000001</v>
      </c>
      <c r="K49" s="86" t="s">
        <v>157</v>
      </c>
      <c r="L49" s="83">
        <v>22.21</v>
      </c>
      <c r="M49" s="81">
        <v>6.0000000000000001E-3</v>
      </c>
      <c r="N49" s="1" t="s">
        <v>290</v>
      </c>
      <c r="O49" s="82">
        <v>42794</v>
      </c>
      <c r="P49" s="1" t="s">
        <v>276</v>
      </c>
      <c r="Q49" s="1" t="s">
        <v>291</v>
      </c>
    </row>
    <row r="50" spans="1:17" x14ac:dyDescent="0.2">
      <c r="A50" s="1" t="s">
        <v>69</v>
      </c>
      <c r="B50" s="1">
        <v>516780</v>
      </c>
      <c r="C50" s="1">
        <v>0.95799999999999996</v>
      </c>
      <c r="D50" s="81">
        <v>3.0999999999999999E-3</v>
      </c>
      <c r="E50" s="81">
        <v>3.0999999999999999E-3</v>
      </c>
      <c r="F50" s="85">
        <v>13954.71</v>
      </c>
      <c r="G50" s="86" t="s">
        <v>157</v>
      </c>
      <c r="H50" s="86" t="s">
        <v>157</v>
      </c>
      <c r="I50" s="86" t="s">
        <v>157</v>
      </c>
      <c r="J50" s="86" t="s">
        <v>157</v>
      </c>
      <c r="K50" s="86" t="s">
        <v>157</v>
      </c>
      <c r="L50" s="83">
        <v>20.03</v>
      </c>
      <c r="M50" s="81">
        <v>6.0000000000000001E-3</v>
      </c>
      <c r="N50" s="1" t="s">
        <v>292</v>
      </c>
      <c r="O50" s="82">
        <v>44263</v>
      </c>
      <c r="P50" s="1" t="s">
        <v>154</v>
      </c>
      <c r="Q50" s="1" t="s">
        <v>293</v>
      </c>
    </row>
    <row r="51" spans="1:17" x14ac:dyDescent="0.2">
      <c r="A51" s="1" t="s">
        <v>294</v>
      </c>
      <c r="B51" s="1">
        <v>511260</v>
      </c>
      <c r="C51" s="1">
        <v>110.697</v>
      </c>
      <c r="D51" s="81">
        <v>-2.9999999999999997E-4</v>
      </c>
      <c r="E51" s="81">
        <v>-1E-4</v>
      </c>
      <c r="F51" s="85">
        <v>8105.08</v>
      </c>
      <c r="G51" s="86">
        <v>2.0999999999999999E-3</v>
      </c>
      <c r="H51" s="86">
        <v>5.4000000000000003E-3</v>
      </c>
      <c r="I51" s="86">
        <v>-2.1100000000000001E-2</v>
      </c>
      <c r="J51" s="86">
        <v>0.1172</v>
      </c>
      <c r="K51" s="86" t="s">
        <v>157</v>
      </c>
      <c r="L51" s="83">
        <v>9.48</v>
      </c>
      <c r="M51" s="81">
        <v>4.0000000000000001E-3</v>
      </c>
      <c r="N51" s="1" t="s">
        <v>295</v>
      </c>
      <c r="O51" s="82">
        <v>42971</v>
      </c>
      <c r="P51" s="1" t="s">
        <v>158</v>
      </c>
      <c r="Q51" s="1" t="s">
        <v>271</v>
      </c>
    </row>
    <row r="52" spans="1:17" x14ac:dyDescent="0.2">
      <c r="A52" s="1" t="s">
        <v>296</v>
      </c>
      <c r="B52" s="1">
        <v>512290</v>
      </c>
      <c r="C52" s="1">
        <v>1.76</v>
      </c>
      <c r="D52" s="81">
        <v>-5.9999999999999995E-4</v>
      </c>
      <c r="E52" s="81">
        <v>0</v>
      </c>
      <c r="F52" s="85">
        <v>11609.23</v>
      </c>
      <c r="G52" s="86">
        <v>-0.17680000000000001</v>
      </c>
      <c r="H52" s="86">
        <v>-8.2900000000000001E-2</v>
      </c>
      <c r="I52" s="86">
        <v>0.26350000000000001</v>
      </c>
      <c r="J52" s="86" t="s">
        <v>157</v>
      </c>
      <c r="K52" s="86" t="s">
        <v>157</v>
      </c>
      <c r="L52" s="83">
        <v>41.91</v>
      </c>
      <c r="M52" s="81">
        <v>6.0000000000000001E-3</v>
      </c>
      <c r="N52" s="1" t="s">
        <v>297</v>
      </c>
      <c r="O52" s="82">
        <v>43605</v>
      </c>
      <c r="P52" s="1" t="s">
        <v>158</v>
      </c>
      <c r="Q52" s="1" t="s">
        <v>298</v>
      </c>
    </row>
    <row r="53" spans="1:17" x14ac:dyDescent="0.2">
      <c r="A53" s="1" t="s">
        <v>299</v>
      </c>
      <c r="B53" s="1">
        <v>513030</v>
      </c>
      <c r="C53" s="1">
        <v>1.1779999999999999</v>
      </c>
      <c r="D53" s="81">
        <v>-2.4799999999999999E-2</v>
      </c>
      <c r="E53" s="81">
        <v>-8.0000000000000004E-4</v>
      </c>
      <c r="F53" s="85">
        <v>1107.92</v>
      </c>
      <c r="G53" s="86">
        <v>2.7900000000000001E-2</v>
      </c>
      <c r="H53" s="86">
        <v>2.7E-2</v>
      </c>
      <c r="I53" s="86">
        <v>0.24260000000000001</v>
      </c>
      <c r="J53" s="86">
        <v>7.6799999999999993E-2</v>
      </c>
      <c r="K53" s="86">
        <v>0.41249999999999998</v>
      </c>
      <c r="L53" s="83">
        <v>10.53</v>
      </c>
      <c r="M53" s="81">
        <v>0.01</v>
      </c>
      <c r="N53" s="1" t="s">
        <v>300</v>
      </c>
      <c r="O53" s="82">
        <v>41887</v>
      </c>
      <c r="P53" s="1" t="s">
        <v>166</v>
      </c>
      <c r="Q53" s="1" t="s">
        <v>301</v>
      </c>
    </row>
    <row r="54" spans="1:17" x14ac:dyDescent="0.2">
      <c r="A54" s="1" t="s">
        <v>302</v>
      </c>
      <c r="B54" s="1">
        <v>517080</v>
      </c>
      <c r="C54" s="1">
        <v>0.94299999999999995</v>
      </c>
      <c r="D54" s="81">
        <v>2.0999999999999999E-3</v>
      </c>
      <c r="E54" s="81">
        <v>-2.0999999999999999E-3</v>
      </c>
      <c r="F54" s="85">
        <v>2820.49</v>
      </c>
      <c r="G54" s="86" t="s">
        <v>157</v>
      </c>
      <c r="H54" s="86" t="s">
        <v>157</v>
      </c>
      <c r="I54" s="86" t="s">
        <v>157</v>
      </c>
      <c r="J54" s="86" t="s">
        <v>157</v>
      </c>
      <c r="K54" s="86" t="s">
        <v>157</v>
      </c>
      <c r="L54" s="83">
        <v>10.92</v>
      </c>
      <c r="M54" s="81">
        <v>2E-3</v>
      </c>
      <c r="N54" s="1" t="s">
        <v>303</v>
      </c>
      <c r="O54" s="82">
        <v>44249</v>
      </c>
      <c r="P54" s="1" t="s">
        <v>173</v>
      </c>
      <c r="Q54" s="1" t="s">
        <v>155</v>
      </c>
    </row>
    <row r="55" spans="1:17" x14ac:dyDescent="0.2">
      <c r="A55" s="1" t="s">
        <v>102</v>
      </c>
      <c r="B55" s="1">
        <v>510900</v>
      </c>
      <c r="C55" s="1">
        <v>1.226</v>
      </c>
      <c r="D55" s="81">
        <v>4.1000000000000003E-3</v>
      </c>
      <c r="E55" s="81">
        <v>1.6000000000000001E-3</v>
      </c>
      <c r="F55" s="85">
        <v>140629.31</v>
      </c>
      <c r="G55" s="86">
        <v>-3.0800000000000001E-2</v>
      </c>
      <c r="H55" s="86">
        <v>5.4199999999999998E-2</v>
      </c>
      <c r="I55" s="86">
        <v>6.7000000000000004E-2</v>
      </c>
      <c r="J55" s="86">
        <v>4.1000000000000003E-3</v>
      </c>
      <c r="K55" s="86">
        <v>0.47270000000000001</v>
      </c>
      <c r="L55" s="83">
        <v>99.64</v>
      </c>
      <c r="M55" s="81">
        <v>7.4999999999999997E-3</v>
      </c>
      <c r="N55" s="1" t="s">
        <v>304</v>
      </c>
      <c r="O55" s="82">
        <v>41204</v>
      </c>
      <c r="P55" s="1" t="s">
        <v>208</v>
      </c>
      <c r="Q55" s="1" t="s">
        <v>305</v>
      </c>
    </row>
    <row r="56" spans="1:17" x14ac:dyDescent="0.2">
      <c r="A56" s="1" t="s">
        <v>306</v>
      </c>
      <c r="B56" s="1">
        <v>159930</v>
      </c>
      <c r="C56" s="1">
        <v>0.70399999999999996</v>
      </c>
      <c r="D56" s="81">
        <v>1.15E-2</v>
      </c>
      <c r="E56" s="81">
        <v>-1.4E-3</v>
      </c>
      <c r="F56" s="85">
        <v>2198.59</v>
      </c>
      <c r="G56" s="86">
        <v>6.3399999999999998E-2</v>
      </c>
      <c r="H56" s="86">
        <v>8.8099999999999998E-2</v>
      </c>
      <c r="I56" s="86">
        <v>0.1139</v>
      </c>
      <c r="J56" s="86">
        <v>-0.15790000000000001</v>
      </c>
      <c r="K56" s="86">
        <v>-8.4500000000000006E-2</v>
      </c>
      <c r="L56" s="83">
        <v>1.97</v>
      </c>
      <c r="M56" s="81">
        <v>6.0000000000000001E-3</v>
      </c>
      <c r="N56" s="1" t="s">
        <v>307</v>
      </c>
      <c r="O56" s="82">
        <v>41533</v>
      </c>
      <c r="P56" s="1" t="s">
        <v>173</v>
      </c>
      <c r="Q56" s="1" t="s">
        <v>308</v>
      </c>
    </row>
    <row r="57" spans="1:17" x14ac:dyDescent="0.2">
      <c r="A57" s="1" t="s">
        <v>309</v>
      </c>
      <c r="B57" s="1">
        <v>510410</v>
      </c>
      <c r="C57" s="1">
        <v>0.83899999999999997</v>
      </c>
      <c r="D57" s="81">
        <v>-8.3000000000000001E-3</v>
      </c>
      <c r="E57" s="81">
        <v>-1.1999999999999999E-3</v>
      </c>
      <c r="F57" s="85">
        <v>2765.26</v>
      </c>
      <c r="G57" s="86">
        <v>2.4400000000000002E-2</v>
      </c>
      <c r="H57" s="86">
        <v>0.1113</v>
      </c>
      <c r="I57" s="86">
        <v>0.44159999999999999</v>
      </c>
      <c r="J57" s="86">
        <v>6.3399999999999998E-2</v>
      </c>
      <c r="K57" s="86">
        <v>0.37769999999999998</v>
      </c>
      <c r="L57" s="83">
        <v>3.61</v>
      </c>
      <c r="M57" s="81">
        <v>6.0000000000000001E-3</v>
      </c>
      <c r="N57" s="1" t="s">
        <v>310</v>
      </c>
      <c r="O57" s="82">
        <v>41040</v>
      </c>
      <c r="P57" s="1" t="s">
        <v>266</v>
      </c>
      <c r="Q57" s="1" t="s">
        <v>311</v>
      </c>
    </row>
    <row r="58" spans="1:17" x14ac:dyDescent="0.2">
      <c r="A58" s="1" t="s">
        <v>312</v>
      </c>
      <c r="B58" s="1">
        <v>512070</v>
      </c>
      <c r="C58" s="1">
        <v>2.4369999999999998</v>
      </c>
      <c r="D58" s="81">
        <v>-1.6000000000000001E-3</v>
      </c>
      <c r="E58" s="81">
        <v>2.5000000000000001E-3</v>
      </c>
      <c r="F58" s="85">
        <v>8794.94</v>
      </c>
      <c r="G58" s="86">
        <v>-1.4999999999999999E-2</v>
      </c>
      <c r="H58" s="86">
        <v>-7.3700000000000002E-2</v>
      </c>
      <c r="I58" s="86">
        <v>0.1012</v>
      </c>
      <c r="J58" s="86">
        <v>0.2203</v>
      </c>
      <c r="K58" s="86">
        <v>0.67030000000000001</v>
      </c>
      <c r="L58" s="83">
        <v>34.869999999999997</v>
      </c>
      <c r="M58" s="81">
        <v>6.0000000000000001E-3</v>
      </c>
      <c r="N58" s="1" t="s">
        <v>313</v>
      </c>
      <c r="O58" s="82">
        <v>41838</v>
      </c>
      <c r="P58" s="1" t="s">
        <v>208</v>
      </c>
      <c r="Q58" s="1" t="s">
        <v>314</v>
      </c>
    </row>
    <row r="59" spans="1:17" x14ac:dyDescent="0.2">
      <c r="A59" s="1" t="s">
        <v>315</v>
      </c>
      <c r="B59" s="1">
        <v>513300</v>
      </c>
      <c r="C59" s="1">
        <v>1.071</v>
      </c>
      <c r="D59" s="81">
        <v>8.5000000000000006E-3</v>
      </c>
      <c r="E59" s="81">
        <v>-4.5999999999999999E-3</v>
      </c>
      <c r="F59" s="85">
        <v>2793.51</v>
      </c>
      <c r="G59" s="86">
        <v>-4.7199999999999999E-2</v>
      </c>
      <c r="H59" s="86">
        <v>9.4000000000000004E-3</v>
      </c>
      <c r="I59" s="86" t="s">
        <v>157</v>
      </c>
      <c r="J59" s="86" t="s">
        <v>157</v>
      </c>
      <c r="K59" s="86" t="s">
        <v>157</v>
      </c>
      <c r="L59" s="83">
        <v>76.099999999999994</v>
      </c>
      <c r="M59" s="81">
        <v>8.0000000000000002E-3</v>
      </c>
      <c r="N59" s="1" t="s">
        <v>233</v>
      </c>
      <c r="O59" s="82">
        <v>44140</v>
      </c>
      <c r="P59" s="1" t="s">
        <v>171</v>
      </c>
      <c r="Q59" s="1" t="s">
        <v>234</v>
      </c>
    </row>
    <row r="60" spans="1:17" x14ac:dyDescent="0.2">
      <c r="A60" s="1" t="s">
        <v>316</v>
      </c>
      <c r="B60" s="1">
        <v>510310</v>
      </c>
      <c r="C60" s="1">
        <v>2.335</v>
      </c>
      <c r="D60" s="81">
        <v>2.5999999999999999E-3</v>
      </c>
      <c r="E60" s="81">
        <v>-1.6999999999999999E-3</v>
      </c>
      <c r="F60" s="85">
        <v>24758.21</v>
      </c>
      <c r="G60" s="86">
        <v>-0.1152</v>
      </c>
      <c r="H60" s="86">
        <v>-1.3899999999999999E-2</v>
      </c>
      <c r="I60" s="86">
        <v>0.30809999999999998</v>
      </c>
      <c r="J60" s="86">
        <v>0.34039999999999998</v>
      </c>
      <c r="K60" s="86">
        <v>0.89839999999999998</v>
      </c>
      <c r="L60" s="83">
        <v>94.07</v>
      </c>
      <c r="M60" s="81">
        <v>2E-3</v>
      </c>
      <c r="N60" s="1" t="s">
        <v>190</v>
      </c>
      <c r="O60" s="82">
        <v>41358</v>
      </c>
      <c r="P60" s="1" t="s">
        <v>208</v>
      </c>
      <c r="Q60" s="1" t="s">
        <v>155</v>
      </c>
    </row>
    <row r="61" spans="1:17" x14ac:dyDescent="0.2">
      <c r="A61" s="1" t="s">
        <v>317</v>
      </c>
      <c r="B61" s="1">
        <v>159905</v>
      </c>
      <c r="C61" s="1">
        <v>2.7480000000000002</v>
      </c>
      <c r="D61" s="81">
        <v>5.1000000000000004E-3</v>
      </c>
      <c r="E61" s="81">
        <v>-1.1000000000000001E-3</v>
      </c>
      <c r="F61" s="85">
        <v>5379.85</v>
      </c>
      <c r="G61" s="86">
        <v>-0.1358</v>
      </c>
      <c r="H61" s="86">
        <v>1.5E-3</v>
      </c>
      <c r="I61" s="86">
        <v>0.39419999999999999</v>
      </c>
      <c r="J61" s="86">
        <v>0.53180000000000005</v>
      </c>
      <c r="K61" s="86">
        <v>1.6888000000000001</v>
      </c>
      <c r="L61" s="83">
        <v>40.92</v>
      </c>
      <c r="M61" s="81">
        <v>6.0000000000000001E-3</v>
      </c>
      <c r="N61" s="1" t="s">
        <v>318</v>
      </c>
      <c r="O61" s="82">
        <v>40554</v>
      </c>
      <c r="P61" s="1" t="s">
        <v>319</v>
      </c>
      <c r="Q61" s="1" t="s">
        <v>240</v>
      </c>
    </row>
    <row r="62" spans="1:17" x14ac:dyDescent="0.2">
      <c r="A62" s="1" t="s">
        <v>320</v>
      </c>
      <c r="B62" s="1">
        <v>159837</v>
      </c>
      <c r="C62" s="1">
        <v>0.84799999999999998</v>
      </c>
      <c r="D62" s="81">
        <v>7.1000000000000004E-3</v>
      </c>
      <c r="E62" s="81">
        <v>1.1999999999999999E-3</v>
      </c>
      <c r="F62" s="85">
        <v>9660.6200000000008</v>
      </c>
      <c r="G62" s="86">
        <v>-0.20300000000000001</v>
      </c>
      <c r="H62" s="86" t="s">
        <v>157</v>
      </c>
      <c r="I62" s="86" t="s">
        <v>157</v>
      </c>
      <c r="J62" s="86" t="s">
        <v>157</v>
      </c>
      <c r="K62" s="86" t="s">
        <v>157</v>
      </c>
      <c r="L62" s="83">
        <v>28.2</v>
      </c>
      <c r="M62" s="81">
        <v>2E-3</v>
      </c>
      <c r="N62" s="1" t="s">
        <v>321</v>
      </c>
      <c r="O62" s="82">
        <v>44223</v>
      </c>
      <c r="P62" s="1" t="s">
        <v>208</v>
      </c>
      <c r="Q62" s="1" t="s">
        <v>322</v>
      </c>
    </row>
    <row r="63" spans="1:17" x14ac:dyDescent="0.2">
      <c r="A63" s="1" t="s">
        <v>95</v>
      </c>
      <c r="B63" s="1">
        <v>159996</v>
      </c>
      <c r="C63" s="1">
        <v>1.3240000000000001</v>
      </c>
      <c r="D63" s="81">
        <v>0</v>
      </c>
      <c r="E63" s="81">
        <v>-2.3E-3</v>
      </c>
      <c r="F63" s="85">
        <v>4059.83</v>
      </c>
      <c r="G63" s="86">
        <v>-9.8699999999999996E-2</v>
      </c>
      <c r="H63" s="86">
        <v>-4.7500000000000001E-2</v>
      </c>
      <c r="I63" s="86" t="s">
        <v>157</v>
      </c>
      <c r="J63" s="86" t="s">
        <v>157</v>
      </c>
      <c r="K63" s="86" t="s">
        <v>157</v>
      </c>
      <c r="L63" s="83">
        <v>10.56</v>
      </c>
      <c r="M63" s="81">
        <v>6.0000000000000001E-3</v>
      </c>
      <c r="N63" s="1" t="s">
        <v>323</v>
      </c>
      <c r="O63" s="82">
        <v>43906</v>
      </c>
      <c r="P63" s="1" t="s">
        <v>158</v>
      </c>
      <c r="Q63" s="1" t="s">
        <v>324</v>
      </c>
    </row>
    <row r="64" spans="1:17" x14ac:dyDescent="0.2">
      <c r="A64" s="1" t="s">
        <v>325</v>
      </c>
      <c r="B64" s="1">
        <v>159981</v>
      </c>
      <c r="C64" s="1">
        <v>1.06</v>
      </c>
      <c r="D64" s="81">
        <v>-2.8E-3</v>
      </c>
      <c r="E64" s="81">
        <v>-9.2999999999999992E-3</v>
      </c>
      <c r="F64" s="85">
        <v>1064.49</v>
      </c>
      <c r="G64" s="86">
        <v>6.7500000000000004E-2</v>
      </c>
      <c r="H64" s="86">
        <v>6.4299999999999996E-2</v>
      </c>
      <c r="I64" s="86">
        <v>0.2114</v>
      </c>
      <c r="J64" s="86" t="s">
        <v>157</v>
      </c>
      <c r="K64" s="86" t="s">
        <v>157</v>
      </c>
      <c r="L64" s="83">
        <v>1.2</v>
      </c>
      <c r="M64" s="81">
        <v>6.0000000000000001E-3</v>
      </c>
      <c r="N64" s="1" t="s">
        <v>326</v>
      </c>
      <c r="O64" s="82">
        <v>43847</v>
      </c>
      <c r="P64" s="1" t="s">
        <v>327</v>
      </c>
      <c r="Q64" s="1" t="s">
        <v>328</v>
      </c>
    </row>
    <row r="65" spans="1:17" x14ac:dyDescent="0.2">
      <c r="A65" s="1" t="s">
        <v>329</v>
      </c>
      <c r="B65" s="1">
        <v>516880</v>
      </c>
      <c r="C65" s="1">
        <v>0.88300000000000001</v>
      </c>
      <c r="D65" s="81">
        <v>1.7299999999999999E-2</v>
      </c>
      <c r="E65" s="81">
        <v>0</v>
      </c>
      <c r="F65" s="85">
        <v>10428.959999999999</v>
      </c>
      <c r="G65" s="86">
        <v>-0.17169999999999999</v>
      </c>
      <c r="H65" s="86" t="s">
        <v>157</v>
      </c>
      <c r="I65" s="86" t="s">
        <v>157</v>
      </c>
      <c r="J65" s="86" t="s">
        <v>157</v>
      </c>
      <c r="K65" s="86" t="s">
        <v>157</v>
      </c>
      <c r="L65" s="83">
        <v>19.68</v>
      </c>
      <c r="M65" s="81">
        <v>6.0000000000000001E-3</v>
      </c>
      <c r="N65" s="1" t="s">
        <v>195</v>
      </c>
      <c r="O65" s="82">
        <v>44214</v>
      </c>
      <c r="P65" s="1" t="s">
        <v>249</v>
      </c>
      <c r="Q65" s="1" t="s">
        <v>168</v>
      </c>
    </row>
    <row r="66" spans="1:17" x14ac:dyDescent="0.2">
      <c r="A66" s="1" t="s">
        <v>330</v>
      </c>
      <c r="B66" s="1">
        <v>516160</v>
      </c>
      <c r="C66" s="1">
        <v>0.84899999999999998</v>
      </c>
      <c r="D66" s="81">
        <v>1.5599999999999999E-2</v>
      </c>
      <c r="E66" s="81">
        <v>-2.3999999999999998E-3</v>
      </c>
      <c r="F66" s="85">
        <v>9664.65</v>
      </c>
      <c r="G66" s="86">
        <v>-0.16350000000000001</v>
      </c>
      <c r="H66" s="86" t="s">
        <v>157</v>
      </c>
      <c r="I66" s="86" t="s">
        <v>157</v>
      </c>
      <c r="J66" s="86" t="s">
        <v>157</v>
      </c>
      <c r="K66" s="86" t="s">
        <v>157</v>
      </c>
      <c r="L66" s="83">
        <v>19.96</v>
      </c>
      <c r="M66" s="81">
        <v>2E-3</v>
      </c>
      <c r="N66" s="1" t="s">
        <v>331</v>
      </c>
      <c r="O66" s="82">
        <v>44231</v>
      </c>
      <c r="P66" s="1" t="s">
        <v>163</v>
      </c>
      <c r="Q66" s="1" t="s">
        <v>332</v>
      </c>
    </row>
    <row r="67" spans="1:17" x14ac:dyDescent="0.2">
      <c r="A67" s="1" t="s">
        <v>333</v>
      </c>
      <c r="B67" s="1">
        <v>159993</v>
      </c>
      <c r="C67" s="1">
        <v>1.0900000000000001</v>
      </c>
      <c r="D67" s="81">
        <v>-8.9999999999999998E-4</v>
      </c>
      <c r="E67" s="81">
        <v>-1.8E-3</v>
      </c>
      <c r="F67" s="85">
        <v>6940.57</v>
      </c>
      <c r="G67" s="86">
        <v>-8.0199999999999994E-2</v>
      </c>
      <c r="H67" s="86">
        <v>-0.1153</v>
      </c>
      <c r="I67" s="86">
        <v>6.9699999999999998E-2</v>
      </c>
      <c r="J67" s="86" t="s">
        <v>157</v>
      </c>
      <c r="K67" s="86" t="s">
        <v>157</v>
      </c>
      <c r="L67" s="83">
        <v>15.72</v>
      </c>
      <c r="M67" s="81">
        <v>6.0000000000000001E-3</v>
      </c>
      <c r="N67" s="1" t="s">
        <v>334</v>
      </c>
      <c r="O67" s="82">
        <v>43868</v>
      </c>
      <c r="P67" s="1" t="s">
        <v>160</v>
      </c>
      <c r="Q67" s="1" t="s">
        <v>169</v>
      </c>
    </row>
    <row r="68" spans="1:17" x14ac:dyDescent="0.2">
      <c r="A68" s="1" t="s">
        <v>335</v>
      </c>
      <c r="B68" s="1">
        <v>159807</v>
      </c>
      <c r="C68" s="1">
        <v>1.492</v>
      </c>
      <c r="D68" s="81">
        <v>-6.9999999999999999E-4</v>
      </c>
      <c r="E68" s="81">
        <v>0</v>
      </c>
      <c r="F68" s="85">
        <v>6074.98</v>
      </c>
      <c r="G68" s="86">
        <v>-0.1613</v>
      </c>
      <c r="H68" s="86">
        <v>-8.0699999999999994E-2</v>
      </c>
      <c r="I68" s="86" t="s">
        <v>157</v>
      </c>
      <c r="J68" s="86" t="s">
        <v>157</v>
      </c>
      <c r="K68" s="86" t="s">
        <v>157</v>
      </c>
      <c r="L68" s="83">
        <v>10.67</v>
      </c>
      <c r="M68" s="81">
        <v>2E-3</v>
      </c>
      <c r="N68" s="1" t="s">
        <v>336</v>
      </c>
      <c r="O68" s="82">
        <v>43920</v>
      </c>
      <c r="P68" s="1" t="s">
        <v>208</v>
      </c>
      <c r="Q68" s="1" t="s">
        <v>259</v>
      </c>
    </row>
    <row r="69" spans="1:17" x14ac:dyDescent="0.2">
      <c r="A69" s="1" t="s">
        <v>337</v>
      </c>
      <c r="B69" s="1">
        <v>588080</v>
      </c>
      <c r="C69" s="1">
        <v>1.288</v>
      </c>
      <c r="D69" s="81">
        <v>-5.4000000000000003E-3</v>
      </c>
      <c r="E69" s="81">
        <v>-8.0000000000000004E-4</v>
      </c>
      <c r="F69" s="85">
        <v>25579.33</v>
      </c>
      <c r="G69" s="86">
        <v>-0.122</v>
      </c>
      <c r="H69" s="86">
        <v>-9.2299999999999993E-2</v>
      </c>
      <c r="I69" s="86" t="s">
        <v>157</v>
      </c>
      <c r="J69" s="86" t="s">
        <v>157</v>
      </c>
      <c r="K69" s="86" t="s">
        <v>157</v>
      </c>
      <c r="L69" s="83">
        <v>65.180000000000007</v>
      </c>
      <c r="M69" s="81">
        <v>6.0000000000000001E-3</v>
      </c>
      <c r="N69" s="1" t="s">
        <v>197</v>
      </c>
      <c r="O69" s="82">
        <v>44151</v>
      </c>
      <c r="P69" s="1" t="s">
        <v>208</v>
      </c>
      <c r="Q69" s="1" t="s">
        <v>167</v>
      </c>
    </row>
    <row r="70" spans="1:17" x14ac:dyDescent="0.2">
      <c r="A70" s="1" t="s">
        <v>338</v>
      </c>
      <c r="B70" s="1">
        <v>515180</v>
      </c>
      <c r="C70" s="1">
        <v>1.1639999999999999</v>
      </c>
      <c r="D70" s="81">
        <v>9.4999999999999998E-3</v>
      </c>
      <c r="E70" s="81">
        <v>-8.9999999999999998E-4</v>
      </c>
      <c r="F70" s="85">
        <v>2209.7399999999998</v>
      </c>
      <c r="G70" s="86">
        <v>5.7200000000000001E-2</v>
      </c>
      <c r="H70" s="86">
        <v>5.5300000000000002E-2</v>
      </c>
      <c r="I70" s="86">
        <v>0.21590000000000001</v>
      </c>
      <c r="J70" s="86" t="s">
        <v>157</v>
      </c>
      <c r="K70" s="86" t="s">
        <v>157</v>
      </c>
      <c r="L70" s="83">
        <v>13.97</v>
      </c>
      <c r="M70" s="81">
        <v>2E-3</v>
      </c>
      <c r="N70" s="1" t="s">
        <v>339</v>
      </c>
      <c r="O70" s="82">
        <v>43819</v>
      </c>
      <c r="P70" s="1" t="s">
        <v>208</v>
      </c>
      <c r="Q70" s="1" t="s">
        <v>240</v>
      </c>
    </row>
    <row r="71" spans="1:17" x14ac:dyDescent="0.2">
      <c r="A71" s="1" t="s">
        <v>340</v>
      </c>
      <c r="B71" s="1">
        <v>510630</v>
      </c>
      <c r="C71" s="1">
        <v>5.181</v>
      </c>
      <c r="D71" s="81">
        <v>-1.5E-3</v>
      </c>
      <c r="E71" s="81">
        <v>1.9E-3</v>
      </c>
      <c r="F71" s="85">
        <v>4334.59</v>
      </c>
      <c r="G71" s="86">
        <v>-0.23039999999999999</v>
      </c>
      <c r="H71" s="86">
        <v>-0.1162</v>
      </c>
      <c r="I71" s="86">
        <v>0.69310000000000005</v>
      </c>
      <c r="J71" s="86">
        <v>1.2065999999999999</v>
      </c>
      <c r="K71" s="86">
        <v>2.9550000000000001</v>
      </c>
      <c r="L71" s="83">
        <v>4.0199999999999996</v>
      </c>
      <c r="M71" s="81">
        <v>6.0000000000000001E-3</v>
      </c>
      <c r="N71" s="1" t="s">
        <v>341</v>
      </c>
      <c r="O71" s="82">
        <v>41402</v>
      </c>
      <c r="P71" s="1" t="s">
        <v>171</v>
      </c>
      <c r="Q71" s="1" t="s">
        <v>174</v>
      </c>
    </row>
    <row r="72" spans="1:17" x14ac:dyDescent="0.2">
      <c r="A72" s="1" t="s">
        <v>24</v>
      </c>
      <c r="B72" s="1">
        <v>159941</v>
      </c>
      <c r="C72" s="1">
        <v>2.6019999999999999</v>
      </c>
      <c r="D72" s="81">
        <v>7.0000000000000001E-3</v>
      </c>
      <c r="E72" s="81">
        <v>-1.21E-2</v>
      </c>
      <c r="F72" s="85">
        <v>6591.85</v>
      </c>
      <c r="G72" s="86">
        <v>-5.3499999999999999E-2</v>
      </c>
      <c r="H72" s="86">
        <v>1.1999999999999999E-3</v>
      </c>
      <c r="I72" s="86">
        <v>0.41339999999999999</v>
      </c>
      <c r="J72" s="86">
        <v>0.80320000000000003</v>
      </c>
      <c r="K72" s="86">
        <v>1.7859</v>
      </c>
      <c r="L72" s="83">
        <v>10.55</v>
      </c>
      <c r="M72" s="81">
        <v>1.0500000000000001E-2</v>
      </c>
      <c r="N72" s="1" t="s">
        <v>233</v>
      </c>
      <c r="O72" s="82">
        <v>42198</v>
      </c>
      <c r="P72" s="1" t="s">
        <v>276</v>
      </c>
      <c r="Q72" s="1" t="s">
        <v>234</v>
      </c>
    </row>
    <row r="73" spans="1:17" x14ac:dyDescent="0.2">
      <c r="A73" s="1" t="s">
        <v>73</v>
      </c>
      <c r="B73" s="1">
        <v>515710</v>
      </c>
      <c r="C73" s="1">
        <v>0.84499999999999997</v>
      </c>
      <c r="D73" s="81">
        <v>1.1999999999999999E-3</v>
      </c>
      <c r="E73" s="81">
        <v>2.3999999999999998E-3</v>
      </c>
      <c r="F73" s="85">
        <v>10219.69</v>
      </c>
      <c r="G73" s="86">
        <v>-0.21829999999999999</v>
      </c>
      <c r="H73" s="86" t="s">
        <v>157</v>
      </c>
      <c r="I73" s="86" t="s">
        <v>157</v>
      </c>
      <c r="J73" s="86" t="s">
        <v>157</v>
      </c>
      <c r="K73" s="86" t="s">
        <v>157</v>
      </c>
      <c r="L73" s="83">
        <v>8.73</v>
      </c>
      <c r="M73" s="81">
        <v>6.0000000000000001E-3</v>
      </c>
      <c r="N73" s="1" t="s">
        <v>279</v>
      </c>
      <c r="O73" s="82">
        <v>44203</v>
      </c>
      <c r="P73" s="1" t="s">
        <v>200</v>
      </c>
      <c r="Q73" s="1" t="s">
        <v>280</v>
      </c>
    </row>
    <row r="74" spans="1:17" x14ac:dyDescent="0.2">
      <c r="A74" s="1" t="s">
        <v>342</v>
      </c>
      <c r="B74" s="1">
        <v>515980</v>
      </c>
      <c r="C74" s="1">
        <v>1.026</v>
      </c>
      <c r="D74" s="81">
        <v>-1.35E-2</v>
      </c>
      <c r="E74" s="81">
        <v>1E-3</v>
      </c>
      <c r="F74" s="85">
        <v>1899.77</v>
      </c>
      <c r="G74" s="86">
        <v>-9.2799999999999994E-2</v>
      </c>
      <c r="H74" s="86">
        <v>-7.6499999999999999E-2</v>
      </c>
      <c r="I74" s="86">
        <v>-0.1148</v>
      </c>
      <c r="J74" s="86" t="s">
        <v>157</v>
      </c>
      <c r="K74" s="86" t="s">
        <v>157</v>
      </c>
      <c r="L74" s="83">
        <v>6.05</v>
      </c>
      <c r="M74" s="81">
        <v>6.0000000000000001E-3</v>
      </c>
      <c r="N74" s="1" t="s">
        <v>343</v>
      </c>
      <c r="O74" s="82">
        <v>43871</v>
      </c>
      <c r="P74" s="1" t="s">
        <v>344</v>
      </c>
      <c r="Q74" s="1" t="s">
        <v>345</v>
      </c>
    </row>
    <row r="75" spans="1:17" x14ac:dyDescent="0.2">
      <c r="A75" s="1" t="s">
        <v>346</v>
      </c>
      <c r="B75" s="1">
        <v>159966</v>
      </c>
      <c r="C75" s="1">
        <v>0.59299999999999997</v>
      </c>
      <c r="D75" s="81">
        <v>0</v>
      </c>
      <c r="E75" s="81">
        <v>0</v>
      </c>
      <c r="F75" s="85">
        <v>5420.47</v>
      </c>
      <c r="G75" s="86">
        <v>-0.18090000000000001</v>
      </c>
      <c r="H75" s="86">
        <v>-8.2000000000000003E-2</v>
      </c>
      <c r="I75" s="86">
        <v>0.2858</v>
      </c>
      <c r="J75" s="86" t="s">
        <v>157</v>
      </c>
      <c r="K75" s="86" t="s">
        <v>157</v>
      </c>
      <c r="L75" s="83">
        <v>17.97</v>
      </c>
      <c r="M75" s="81">
        <v>6.0000000000000001E-3</v>
      </c>
      <c r="N75" s="1" t="s">
        <v>347</v>
      </c>
      <c r="O75" s="82">
        <v>43661</v>
      </c>
      <c r="P75" s="1" t="s">
        <v>171</v>
      </c>
      <c r="Q75" s="1" t="s">
        <v>348</v>
      </c>
    </row>
    <row r="76" spans="1:17" x14ac:dyDescent="0.2">
      <c r="A76" s="1" t="s">
        <v>349</v>
      </c>
      <c r="B76" s="1">
        <v>512770</v>
      </c>
      <c r="C76" s="1">
        <v>2.0270000000000001</v>
      </c>
      <c r="D76" s="81">
        <v>0</v>
      </c>
      <c r="E76" s="81">
        <v>-1E-3</v>
      </c>
      <c r="F76" s="85">
        <v>1712.8</v>
      </c>
      <c r="G76" s="86">
        <v>-0.19850000000000001</v>
      </c>
      <c r="H76" s="86">
        <v>-4.8399999999999999E-2</v>
      </c>
      <c r="I76" s="86">
        <v>0.5161</v>
      </c>
      <c r="J76" s="86" t="s">
        <v>157</v>
      </c>
      <c r="K76" s="86" t="s">
        <v>157</v>
      </c>
      <c r="L76" s="83">
        <v>4.28</v>
      </c>
      <c r="M76" s="81">
        <v>6.0000000000000001E-3</v>
      </c>
      <c r="N76" s="1" t="s">
        <v>350</v>
      </c>
      <c r="O76" s="82">
        <v>43328</v>
      </c>
      <c r="P76" s="1" t="s">
        <v>171</v>
      </c>
      <c r="Q76" s="1" t="s">
        <v>351</v>
      </c>
    </row>
    <row r="77" spans="1:17" x14ac:dyDescent="0.2">
      <c r="A77" s="1" t="s">
        <v>71</v>
      </c>
      <c r="B77" s="1">
        <v>159869</v>
      </c>
      <c r="C77" s="1">
        <v>0.97299999999999998</v>
      </c>
      <c r="D77" s="81">
        <v>-2.2100000000000002E-2</v>
      </c>
      <c r="E77" s="81">
        <v>1E-3</v>
      </c>
      <c r="F77" s="85">
        <v>7415.01</v>
      </c>
      <c r="G77" s="86" t="s">
        <v>157</v>
      </c>
      <c r="H77" s="86" t="s">
        <v>157</v>
      </c>
      <c r="I77" s="86" t="s">
        <v>157</v>
      </c>
      <c r="J77" s="86" t="s">
        <v>157</v>
      </c>
      <c r="K77" s="86" t="s">
        <v>157</v>
      </c>
      <c r="L77" s="83">
        <v>9.99</v>
      </c>
      <c r="M77" s="81">
        <v>6.0000000000000001E-3</v>
      </c>
      <c r="N77" s="1" t="s">
        <v>352</v>
      </c>
      <c r="O77" s="82">
        <v>44260</v>
      </c>
      <c r="P77" s="1" t="s">
        <v>171</v>
      </c>
      <c r="Q77" s="1" t="s">
        <v>353</v>
      </c>
    </row>
    <row r="78" spans="1:17" x14ac:dyDescent="0.2">
      <c r="A78" s="1" t="s">
        <v>354</v>
      </c>
      <c r="B78" s="1">
        <v>515120</v>
      </c>
      <c r="C78" s="1">
        <v>0.96499999999999997</v>
      </c>
      <c r="D78" s="81">
        <v>2.0999999999999999E-3</v>
      </c>
      <c r="E78" s="81">
        <v>0</v>
      </c>
      <c r="F78" s="85">
        <v>10024.56</v>
      </c>
      <c r="G78" s="86">
        <v>-0.1822</v>
      </c>
      <c r="H78" s="86" t="s">
        <v>157</v>
      </c>
      <c r="I78" s="86" t="s">
        <v>157</v>
      </c>
      <c r="J78" s="86" t="s">
        <v>157</v>
      </c>
      <c r="K78" s="86" t="s">
        <v>157</v>
      </c>
      <c r="L78" s="83">
        <v>16.61</v>
      </c>
      <c r="M78" s="81">
        <v>6.0000000000000001E-3</v>
      </c>
      <c r="N78" s="1" t="s">
        <v>248</v>
      </c>
      <c r="O78" s="82">
        <v>44200</v>
      </c>
      <c r="P78" s="1" t="s">
        <v>276</v>
      </c>
      <c r="Q78" s="1" t="s">
        <v>201</v>
      </c>
    </row>
    <row r="79" spans="1:17" x14ac:dyDescent="0.2">
      <c r="A79" s="1" t="s">
        <v>355</v>
      </c>
      <c r="B79" s="1">
        <v>159827</v>
      </c>
      <c r="C79" s="1">
        <v>1.0289999999999999</v>
      </c>
      <c r="D79" s="81">
        <v>-1E-3</v>
      </c>
      <c r="E79" s="81">
        <v>0</v>
      </c>
      <c r="F79" s="85">
        <v>1233.52</v>
      </c>
      <c r="G79" s="86">
        <v>-0.1338</v>
      </c>
      <c r="H79" s="86" t="s">
        <v>157</v>
      </c>
      <c r="I79" s="86" t="s">
        <v>157</v>
      </c>
      <c r="J79" s="86" t="s">
        <v>157</v>
      </c>
      <c r="K79" s="86" t="s">
        <v>157</v>
      </c>
      <c r="L79" s="83">
        <v>6.79</v>
      </c>
      <c r="M79" s="81">
        <v>6.0000000000000001E-3</v>
      </c>
      <c r="N79" s="1" t="s">
        <v>245</v>
      </c>
      <c r="O79" s="82">
        <v>44183</v>
      </c>
      <c r="P79" s="1" t="s">
        <v>249</v>
      </c>
      <c r="Q79" s="1" t="s">
        <v>246</v>
      </c>
    </row>
    <row r="80" spans="1:17" x14ac:dyDescent="0.2">
      <c r="A80" s="1" t="s">
        <v>149</v>
      </c>
      <c r="B80" s="1">
        <v>516680</v>
      </c>
      <c r="C80" s="1">
        <v>0.91500000000000004</v>
      </c>
      <c r="D80" s="81">
        <v>-2.0299999999999999E-2</v>
      </c>
      <c r="E80" s="81">
        <v>1.1000000000000001E-3</v>
      </c>
      <c r="F80" s="85">
        <v>1176.9000000000001</v>
      </c>
      <c r="G80" s="86" t="s">
        <v>157</v>
      </c>
      <c r="H80" s="86" t="s">
        <v>157</v>
      </c>
      <c r="I80" s="86" t="s">
        <v>157</v>
      </c>
      <c r="J80" s="86" t="s">
        <v>157</v>
      </c>
      <c r="K80" s="86" t="s">
        <v>157</v>
      </c>
      <c r="L80" s="83">
        <v>2.52</v>
      </c>
      <c r="M80" s="81">
        <v>6.0000000000000001E-3</v>
      </c>
      <c r="N80" s="1" t="s">
        <v>356</v>
      </c>
      <c r="O80" s="82">
        <v>44263</v>
      </c>
      <c r="P80" s="1" t="s">
        <v>327</v>
      </c>
      <c r="Q80" s="1" t="s">
        <v>164</v>
      </c>
    </row>
    <row r="81" spans="1:17" x14ac:dyDescent="0.2">
      <c r="A81" s="1" t="s">
        <v>88</v>
      </c>
      <c r="B81" s="1">
        <v>159980</v>
      </c>
      <c r="C81" s="1">
        <v>1.2769999999999999</v>
      </c>
      <c r="D81" s="81">
        <v>-1.01E-2</v>
      </c>
      <c r="E81" s="81">
        <v>8.0000000000000004E-4</v>
      </c>
      <c r="F81" s="85">
        <v>4107.8900000000003</v>
      </c>
      <c r="G81" s="86">
        <v>5.28E-2</v>
      </c>
      <c r="H81" s="86">
        <v>0.1056</v>
      </c>
      <c r="I81" s="86">
        <v>0.38650000000000001</v>
      </c>
      <c r="J81" s="86" t="s">
        <v>157</v>
      </c>
      <c r="K81" s="86" t="s">
        <v>157</v>
      </c>
      <c r="L81" s="83">
        <v>2.33</v>
      </c>
      <c r="M81" s="81">
        <v>7.0000000000000001E-3</v>
      </c>
      <c r="N81" s="1" t="s">
        <v>357</v>
      </c>
      <c r="O81" s="82">
        <v>43823</v>
      </c>
      <c r="P81" s="1" t="s">
        <v>358</v>
      </c>
      <c r="Q81" s="1" t="s">
        <v>359</v>
      </c>
    </row>
    <row r="82" spans="1:17" x14ac:dyDescent="0.2">
      <c r="A82" s="1" t="s">
        <v>172</v>
      </c>
      <c r="B82" s="1">
        <v>510150</v>
      </c>
      <c r="C82" s="1">
        <v>9.2100000000000009</v>
      </c>
      <c r="D82" s="81">
        <v>-1.2999999999999999E-3</v>
      </c>
      <c r="E82" s="81">
        <v>-8.9999999999999998E-4</v>
      </c>
      <c r="F82" s="85">
        <v>2469.3000000000002</v>
      </c>
      <c r="G82" s="86">
        <v>-0.1943</v>
      </c>
      <c r="H82" s="86">
        <v>-8.0100000000000005E-2</v>
      </c>
      <c r="I82" s="86">
        <v>0.6048</v>
      </c>
      <c r="J82" s="86">
        <v>0.79179999999999995</v>
      </c>
      <c r="K82" s="86">
        <v>1.8096000000000001</v>
      </c>
      <c r="L82" s="83">
        <v>5.27</v>
      </c>
      <c r="M82" s="81">
        <v>6.0000000000000001E-3</v>
      </c>
      <c r="N82" s="1" t="s">
        <v>360</v>
      </c>
      <c r="O82" s="82">
        <v>40599</v>
      </c>
      <c r="P82" s="1" t="s">
        <v>361</v>
      </c>
      <c r="Q82" s="1" t="s">
        <v>174</v>
      </c>
    </row>
    <row r="83" spans="1:17" x14ac:dyDescent="0.2">
      <c r="A83" s="1" t="s">
        <v>362</v>
      </c>
      <c r="B83" s="1">
        <v>512330</v>
      </c>
      <c r="C83" s="1">
        <v>0.94299999999999995</v>
      </c>
      <c r="D83" s="81">
        <v>-9.4999999999999998E-3</v>
      </c>
      <c r="E83" s="81">
        <v>1.1000000000000001E-3</v>
      </c>
      <c r="F83" s="85">
        <v>473.51</v>
      </c>
      <c r="G83" s="86">
        <v>-2.0799999999999999E-2</v>
      </c>
      <c r="H83" s="86">
        <v>-9.1499999999999998E-2</v>
      </c>
      <c r="I83" s="86">
        <v>-0.161</v>
      </c>
      <c r="J83" s="86">
        <v>0.1226</v>
      </c>
      <c r="K83" s="86">
        <v>0.28649999999999998</v>
      </c>
      <c r="L83" s="83">
        <v>10.51</v>
      </c>
      <c r="M83" s="81">
        <v>6.0000000000000001E-3</v>
      </c>
      <c r="N83" s="1" t="s">
        <v>363</v>
      </c>
      <c r="O83" s="82">
        <v>42205</v>
      </c>
      <c r="P83" s="1" t="s">
        <v>163</v>
      </c>
      <c r="Q83" s="1" t="s">
        <v>257</v>
      </c>
    </row>
    <row r="84" spans="1:17" x14ac:dyDescent="0.2">
      <c r="A84" s="1" t="s">
        <v>364</v>
      </c>
      <c r="B84" s="1">
        <v>515060</v>
      </c>
      <c r="C84" s="1">
        <v>0.96199999999999997</v>
      </c>
      <c r="D84" s="81">
        <v>1.5800000000000002E-2</v>
      </c>
      <c r="E84" s="81">
        <v>0</v>
      </c>
      <c r="F84" s="85">
        <v>342.59</v>
      </c>
      <c r="G84" s="86">
        <v>6.6500000000000004E-2</v>
      </c>
      <c r="H84" s="86">
        <v>-7.1999999999999998E-3</v>
      </c>
      <c r="I84" s="86">
        <v>8.3999999999999995E-3</v>
      </c>
      <c r="J84" s="86" t="s">
        <v>157</v>
      </c>
      <c r="K84" s="86" t="s">
        <v>157</v>
      </c>
      <c r="L84" s="83">
        <v>1.1000000000000001</v>
      </c>
      <c r="M84" s="81">
        <v>6.0000000000000001E-3</v>
      </c>
      <c r="N84" s="1" t="s">
        <v>217</v>
      </c>
      <c r="O84" s="82">
        <v>43833</v>
      </c>
      <c r="P84" s="1" t="s">
        <v>171</v>
      </c>
      <c r="Q84" s="1" t="s">
        <v>218</v>
      </c>
    </row>
    <row r="85" spans="1:17" x14ac:dyDescent="0.2">
      <c r="A85" s="1" t="s">
        <v>365</v>
      </c>
      <c r="B85" s="1">
        <v>510650</v>
      </c>
      <c r="C85" s="1">
        <v>2.2170000000000001</v>
      </c>
      <c r="D85" s="81">
        <v>5.4000000000000003E-3</v>
      </c>
      <c r="E85" s="81">
        <v>5.0000000000000001E-4</v>
      </c>
      <c r="F85" s="85">
        <v>1315.33</v>
      </c>
      <c r="G85" s="86">
        <v>-3.0999999999999999E-3</v>
      </c>
      <c r="H85" s="86">
        <v>4.3299999999999998E-2</v>
      </c>
      <c r="I85" s="86">
        <v>0.17929999999999999</v>
      </c>
      <c r="J85" s="86">
        <v>0.17799999999999999</v>
      </c>
      <c r="K85" s="86">
        <v>0.67069999999999996</v>
      </c>
      <c r="L85" s="83">
        <v>0.76500000000000001</v>
      </c>
      <c r="M85" s="81">
        <v>6.0000000000000001E-3</v>
      </c>
      <c r="N85" s="1" t="s">
        <v>366</v>
      </c>
      <c r="O85" s="82">
        <v>41402</v>
      </c>
      <c r="P85" s="1" t="s">
        <v>171</v>
      </c>
      <c r="Q85" s="1" t="s">
        <v>314</v>
      </c>
    </row>
    <row r="86" spans="1:17" x14ac:dyDescent="0.2">
      <c r="A86" s="1" t="s">
        <v>367</v>
      </c>
      <c r="B86" s="1">
        <v>515080</v>
      </c>
      <c r="C86" s="1">
        <v>1.3149999999999999</v>
      </c>
      <c r="D86" s="81">
        <v>7.7000000000000002E-3</v>
      </c>
      <c r="E86" s="81">
        <v>0</v>
      </c>
      <c r="F86" s="85">
        <v>1508.76</v>
      </c>
      <c r="G86" s="86">
        <v>6.0499999999999998E-2</v>
      </c>
      <c r="H86" s="86">
        <v>6.7400000000000002E-2</v>
      </c>
      <c r="I86" s="86">
        <v>0.32769999999999999</v>
      </c>
      <c r="J86" s="86" t="s">
        <v>157</v>
      </c>
      <c r="K86" s="86" t="s">
        <v>157</v>
      </c>
      <c r="L86" s="83">
        <v>4.28</v>
      </c>
      <c r="M86" s="81">
        <v>3.0000000000000001E-3</v>
      </c>
      <c r="N86" s="1" t="s">
        <v>339</v>
      </c>
      <c r="O86" s="82">
        <v>43826</v>
      </c>
      <c r="P86" s="1" t="s">
        <v>361</v>
      </c>
      <c r="Q86" s="1" t="s">
        <v>240</v>
      </c>
    </row>
    <row r="87" spans="1:17" x14ac:dyDescent="0.2">
      <c r="A87" s="1" t="s">
        <v>368</v>
      </c>
      <c r="B87" s="1">
        <v>159819</v>
      </c>
      <c r="C87" s="1">
        <v>0.875</v>
      </c>
      <c r="D87" s="81">
        <v>-1.35E-2</v>
      </c>
      <c r="E87" s="81">
        <v>1.1000000000000001E-3</v>
      </c>
      <c r="F87" s="85">
        <v>5757.44</v>
      </c>
      <c r="G87" s="86">
        <v>-7.9899999999999999E-2</v>
      </c>
      <c r="H87" s="86">
        <v>-7.51E-2</v>
      </c>
      <c r="I87" s="86" t="s">
        <v>157</v>
      </c>
      <c r="J87" s="86" t="s">
        <v>157</v>
      </c>
      <c r="K87" s="86" t="s">
        <v>157</v>
      </c>
      <c r="L87" s="83">
        <v>47.68</v>
      </c>
      <c r="M87" s="81">
        <v>2E-3</v>
      </c>
      <c r="N87" s="1" t="s">
        <v>369</v>
      </c>
      <c r="O87" s="82">
        <v>44097</v>
      </c>
      <c r="P87" s="1" t="s">
        <v>208</v>
      </c>
      <c r="Q87" s="1" t="s">
        <v>345</v>
      </c>
    </row>
    <row r="88" spans="1:17" x14ac:dyDescent="0.2">
      <c r="A88" s="1" t="s">
        <v>370</v>
      </c>
      <c r="B88" s="1">
        <v>510170</v>
      </c>
      <c r="C88" s="1">
        <v>2.69</v>
      </c>
      <c r="D88" s="81">
        <v>-1.9E-3</v>
      </c>
      <c r="E88" s="81">
        <v>1.1000000000000001E-3</v>
      </c>
      <c r="F88" s="85">
        <v>905.12</v>
      </c>
      <c r="G88" s="86">
        <v>8.9999999999999993E-3</v>
      </c>
      <c r="H88" s="86">
        <v>7.3899999999999993E-2</v>
      </c>
      <c r="I88" s="86">
        <v>0.58799999999999997</v>
      </c>
      <c r="J88" s="86">
        <v>0.35720000000000002</v>
      </c>
      <c r="K88" s="86">
        <v>0.75470000000000004</v>
      </c>
      <c r="L88" s="83">
        <v>1.45</v>
      </c>
      <c r="M88" s="81">
        <v>7.0000000000000001E-3</v>
      </c>
      <c r="N88" s="1" t="s">
        <v>371</v>
      </c>
      <c r="O88" s="82">
        <v>40568</v>
      </c>
      <c r="P88" s="1" t="s">
        <v>226</v>
      </c>
      <c r="Q88" s="1" t="s">
        <v>311</v>
      </c>
    </row>
    <row r="89" spans="1:17" x14ac:dyDescent="0.2">
      <c r="A89" s="1" t="s">
        <v>372</v>
      </c>
      <c r="B89" s="1">
        <v>517300</v>
      </c>
      <c r="C89" s="1">
        <v>0.91100000000000003</v>
      </c>
      <c r="D89" s="81">
        <v>3.3E-3</v>
      </c>
      <c r="E89" s="81">
        <v>-4.4000000000000003E-3</v>
      </c>
      <c r="F89" s="85">
        <v>2053.1799999999998</v>
      </c>
      <c r="G89" s="86" t="s">
        <v>157</v>
      </c>
      <c r="H89" s="86" t="s">
        <v>157</v>
      </c>
      <c r="I89" s="86" t="s">
        <v>157</v>
      </c>
      <c r="J89" s="86" t="s">
        <v>157</v>
      </c>
      <c r="K89" s="86" t="s">
        <v>157</v>
      </c>
      <c r="L89" s="83">
        <v>39.700000000000003</v>
      </c>
      <c r="M89" s="81">
        <v>6.0000000000000001E-3</v>
      </c>
      <c r="N89" s="1" t="s">
        <v>373</v>
      </c>
      <c r="O89" s="82">
        <v>44251</v>
      </c>
      <c r="P89" s="1" t="s">
        <v>374</v>
      </c>
      <c r="Q89" s="1" t="s">
        <v>155</v>
      </c>
    </row>
    <row r="90" spans="1:17" x14ac:dyDescent="0.2">
      <c r="A90" s="1" t="s">
        <v>375</v>
      </c>
      <c r="B90" s="1">
        <v>159822</v>
      </c>
      <c r="C90" s="1">
        <v>1.095</v>
      </c>
      <c r="D90" s="81">
        <v>4.5999999999999999E-3</v>
      </c>
      <c r="E90" s="81">
        <v>-2.41E-2</v>
      </c>
      <c r="F90" s="85">
        <v>4039.15</v>
      </c>
      <c r="G90" s="86">
        <v>-0.1268</v>
      </c>
      <c r="H90" s="86">
        <v>3.5000000000000003E-2</v>
      </c>
      <c r="I90" s="86" t="s">
        <v>157</v>
      </c>
      <c r="J90" s="86" t="s">
        <v>157</v>
      </c>
      <c r="K90" s="86" t="s">
        <v>157</v>
      </c>
      <c r="L90" s="83">
        <v>5.15</v>
      </c>
      <c r="M90" s="81">
        <v>3.5000000000000001E-3</v>
      </c>
      <c r="N90" s="1" t="s">
        <v>376</v>
      </c>
      <c r="O90" s="82">
        <v>44127</v>
      </c>
      <c r="P90" s="1" t="s">
        <v>249</v>
      </c>
      <c r="Q90" s="1" t="s">
        <v>377</v>
      </c>
    </row>
    <row r="91" spans="1:17" x14ac:dyDescent="0.2">
      <c r="A91" s="1" t="s">
        <v>378</v>
      </c>
      <c r="B91" s="1">
        <v>511380</v>
      </c>
      <c r="C91" s="1">
        <v>10.329000000000001</v>
      </c>
      <c r="D91" s="81">
        <v>4.1000000000000003E-3</v>
      </c>
      <c r="E91" s="81">
        <v>-7.1999999999999998E-3</v>
      </c>
      <c r="F91" s="85">
        <v>8226.19</v>
      </c>
      <c r="G91" s="86">
        <v>2.7000000000000001E-3</v>
      </c>
      <c r="H91" s="86">
        <v>4.4999999999999997E-3</v>
      </c>
      <c r="I91" s="86" t="s">
        <v>157</v>
      </c>
      <c r="J91" s="86" t="s">
        <v>157</v>
      </c>
      <c r="K91" s="86" t="s">
        <v>157</v>
      </c>
      <c r="L91" s="83">
        <v>10.3</v>
      </c>
      <c r="M91" s="81">
        <v>2E-3</v>
      </c>
      <c r="N91" s="1" t="s">
        <v>379</v>
      </c>
      <c r="O91" s="82">
        <v>43928</v>
      </c>
      <c r="P91" s="1" t="s">
        <v>266</v>
      </c>
      <c r="Q91" s="1" t="s">
        <v>380</v>
      </c>
    </row>
    <row r="92" spans="1:17" x14ac:dyDescent="0.2">
      <c r="A92" s="1" t="s">
        <v>381</v>
      </c>
      <c r="B92" s="1">
        <v>159901</v>
      </c>
      <c r="C92" s="1">
        <v>7.556</v>
      </c>
      <c r="D92" s="81">
        <v>2.7000000000000001E-3</v>
      </c>
      <c r="E92" s="81">
        <v>-1.1000000000000001E-3</v>
      </c>
      <c r="F92" s="85">
        <v>19764.34</v>
      </c>
      <c r="G92" s="86">
        <v>-0.16889999999999999</v>
      </c>
      <c r="H92" s="86">
        <v>-3.8399999999999997E-2</v>
      </c>
      <c r="I92" s="86">
        <v>0.38240000000000002</v>
      </c>
      <c r="J92" s="86">
        <v>0.48099999999999998</v>
      </c>
      <c r="K92" s="86">
        <v>1.1093999999999999</v>
      </c>
      <c r="L92" s="83">
        <v>98.22</v>
      </c>
      <c r="M92" s="81">
        <v>6.0000000000000001E-3</v>
      </c>
      <c r="N92" s="1" t="s">
        <v>382</v>
      </c>
      <c r="O92" s="82">
        <v>38831</v>
      </c>
      <c r="P92" s="1" t="s">
        <v>208</v>
      </c>
      <c r="Q92" s="1" t="s">
        <v>155</v>
      </c>
    </row>
    <row r="93" spans="1:17" x14ac:dyDescent="0.2">
      <c r="A93" s="1" t="s">
        <v>383</v>
      </c>
      <c r="B93" s="1">
        <v>159985</v>
      </c>
      <c r="C93" s="1">
        <v>1.1719999999999999</v>
      </c>
      <c r="D93" s="81">
        <v>0</v>
      </c>
      <c r="E93" s="81">
        <v>-4.1999999999999997E-3</v>
      </c>
      <c r="F93" s="85">
        <v>3222.55</v>
      </c>
      <c r="G93" s="86">
        <v>-7.8600000000000003E-2</v>
      </c>
      <c r="H93" s="86">
        <v>-7.7899999999999997E-2</v>
      </c>
      <c r="I93" s="86">
        <v>0.23369999999999999</v>
      </c>
      <c r="J93" s="86" t="s">
        <v>157</v>
      </c>
      <c r="K93" s="86" t="s">
        <v>157</v>
      </c>
      <c r="L93" s="83">
        <v>2.42</v>
      </c>
      <c r="M93" s="81">
        <v>6.0000000000000001E-3</v>
      </c>
      <c r="N93" s="1" t="s">
        <v>384</v>
      </c>
      <c r="O93" s="82">
        <v>43804</v>
      </c>
      <c r="P93" s="1" t="s">
        <v>171</v>
      </c>
      <c r="Q93" s="1" t="s">
        <v>385</v>
      </c>
    </row>
    <row r="94" spans="1:17" x14ac:dyDescent="0.2">
      <c r="A94" s="1" t="s">
        <v>227</v>
      </c>
      <c r="B94" s="1">
        <v>159934</v>
      </c>
      <c r="C94" s="1">
        <v>3.496</v>
      </c>
      <c r="D94" s="81">
        <v>-1.38E-2</v>
      </c>
      <c r="E94" s="81">
        <v>-5.9999999999999995E-4</v>
      </c>
      <c r="F94" s="85">
        <v>85821.2</v>
      </c>
      <c r="G94" s="86">
        <v>-6.1499999999999999E-2</v>
      </c>
      <c r="H94" s="86">
        <v>-8.48E-2</v>
      </c>
      <c r="I94" s="86">
        <v>-3.4000000000000002E-2</v>
      </c>
      <c r="J94" s="86">
        <v>0.30159999999999998</v>
      </c>
      <c r="K94" s="86">
        <v>0.32319999999999999</v>
      </c>
      <c r="L94" s="83">
        <v>38.46</v>
      </c>
      <c r="M94" s="81">
        <v>6.0000000000000001E-3</v>
      </c>
      <c r="N94" s="1" t="s">
        <v>228</v>
      </c>
      <c r="O94" s="82">
        <v>41624</v>
      </c>
      <c r="P94" s="1" t="s">
        <v>208</v>
      </c>
      <c r="Q94" s="1" t="s">
        <v>229</v>
      </c>
    </row>
    <row r="95" spans="1:17" x14ac:dyDescent="0.2">
      <c r="A95" s="1" t="s">
        <v>386</v>
      </c>
      <c r="B95" s="1">
        <v>516600</v>
      </c>
      <c r="C95" s="1">
        <v>0.875</v>
      </c>
      <c r="D95" s="81">
        <v>1.1000000000000001E-3</v>
      </c>
      <c r="E95" s="81">
        <v>-1.1000000000000001E-3</v>
      </c>
      <c r="F95" s="85">
        <v>964.69</v>
      </c>
      <c r="G95" s="86" t="s">
        <v>157</v>
      </c>
      <c r="H95" s="86" t="s">
        <v>157</v>
      </c>
      <c r="I95" s="86" t="s">
        <v>157</v>
      </c>
      <c r="J95" s="86" t="s">
        <v>157</v>
      </c>
      <c r="K95" s="86" t="s">
        <v>157</v>
      </c>
      <c r="L95" s="83">
        <v>3.51</v>
      </c>
      <c r="M95" s="81">
        <v>5.1999999999999998E-3</v>
      </c>
      <c r="N95" s="1" t="s">
        <v>387</v>
      </c>
      <c r="O95" s="82">
        <v>44253</v>
      </c>
      <c r="P95" s="1" t="s">
        <v>319</v>
      </c>
      <c r="Q95" s="1" t="s">
        <v>388</v>
      </c>
    </row>
    <row r="96" spans="1:17" x14ac:dyDescent="0.2">
      <c r="A96" s="1" t="s">
        <v>389</v>
      </c>
      <c r="B96" s="1">
        <v>513090</v>
      </c>
      <c r="C96" s="1">
        <v>1.202</v>
      </c>
      <c r="D96" s="81">
        <v>6.7000000000000002E-3</v>
      </c>
      <c r="E96" s="81">
        <v>2.5000000000000001E-3</v>
      </c>
      <c r="F96" s="85">
        <v>29420.73</v>
      </c>
      <c r="G96" s="86">
        <v>-5.8700000000000002E-2</v>
      </c>
      <c r="H96" s="86">
        <v>-2.5100000000000001E-2</v>
      </c>
      <c r="I96" s="86" t="s">
        <v>157</v>
      </c>
      <c r="J96" s="86" t="s">
        <v>157</v>
      </c>
      <c r="K96" s="86" t="s">
        <v>157</v>
      </c>
      <c r="L96" s="83">
        <v>9.36</v>
      </c>
      <c r="M96" s="81">
        <v>2E-3</v>
      </c>
      <c r="N96" s="1" t="s">
        <v>390</v>
      </c>
      <c r="O96" s="82">
        <v>43916</v>
      </c>
      <c r="P96" s="1" t="s">
        <v>208</v>
      </c>
      <c r="Q96" s="1" t="s">
        <v>262</v>
      </c>
    </row>
    <row r="97" spans="1:17" x14ac:dyDescent="0.2">
      <c r="A97" s="1" t="s">
        <v>391</v>
      </c>
      <c r="B97" s="1">
        <v>517100</v>
      </c>
      <c r="C97" s="1">
        <v>0.93700000000000006</v>
      </c>
      <c r="D97" s="81">
        <v>2.0999999999999999E-3</v>
      </c>
      <c r="E97" s="81">
        <v>-2.0999999999999999E-3</v>
      </c>
      <c r="F97" s="85">
        <v>1256.19</v>
      </c>
      <c r="G97" s="86" t="s">
        <v>157</v>
      </c>
      <c r="H97" s="86" t="s">
        <v>157</v>
      </c>
      <c r="I97" s="86" t="s">
        <v>157</v>
      </c>
      <c r="J97" s="86" t="s">
        <v>157</v>
      </c>
      <c r="K97" s="86" t="s">
        <v>157</v>
      </c>
      <c r="L97" s="83">
        <v>7.8</v>
      </c>
      <c r="M97" s="81">
        <v>6.0000000000000001E-3</v>
      </c>
      <c r="N97" s="1" t="s">
        <v>392</v>
      </c>
      <c r="O97" s="82">
        <v>44257</v>
      </c>
      <c r="P97" s="1" t="s">
        <v>232</v>
      </c>
      <c r="Q97" s="1" t="s">
        <v>155</v>
      </c>
    </row>
    <row r="98" spans="1:17" x14ac:dyDescent="0.2">
      <c r="A98" s="1" t="s">
        <v>393</v>
      </c>
      <c r="B98" s="1">
        <v>513990</v>
      </c>
      <c r="C98" s="1">
        <v>1.121</v>
      </c>
      <c r="D98" s="81">
        <v>-8.9999999999999998E-4</v>
      </c>
      <c r="E98" s="81">
        <v>-1.8E-3</v>
      </c>
      <c r="F98" s="85">
        <v>1762.1</v>
      </c>
      <c r="G98" s="86">
        <v>-4.4299999999999999E-2</v>
      </c>
      <c r="H98" s="86">
        <v>8.1000000000000003E-2</v>
      </c>
      <c r="I98" s="86" t="s">
        <v>157</v>
      </c>
      <c r="J98" s="86" t="s">
        <v>157</v>
      </c>
      <c r="K98" s="86" t="s">
        <v>157</v>
      </c>
      <c r="L98" s="83">
        <v>0.63800000000000001</v>
      </c>
      <c r="M98" s="81">
        <v>2.5000000000000001E-3</v>
      </c>
      <c r="N98" s="1" t="s">
        <v>394</v>
      </c>
      <c r="O98" s="82">
        <v>44061</v>
      </c>
      <c r="P98" s="1" t="s">
        <v>361</v>
      </c>
      <c r="Q98" s="1" t="s">
        <v>262</v>
      </c>
    </row>
    <row r="99" spans="1:17" x14ac:dyDescent="0.2">
      <c r="A99" s="1" t="s">
        <v>89</v>
      </c>
      <c r="B99" s="1">
        <v>159828</v>
      </c>
      <c r="C99" s="1">
        <v>0.89700000000000002</v>
      </c>
      <c r="D99" s="81">
        <v>1.1000000000000001E-3</v>
      </c>
      <c r="E99" s="81">
        <v>-2.2000000000000001E-3</v>
      </c>
      <c r="F99" s="85">
        <v>6247.76</v>
      </c>
      <c r="G99" s="86">
        <v>-0.21179999999999999</v>
      </c>
      <c r="H99" s="86" t="s">
        <v>157</v>
      </c>
      <c r="I99" s="86" t="s">
        <v>157</v>
      </c>
      <c r="J99" s="86" t="s">
        <v>157</v>
      </c>
      <c r="K99" s="86" t="s">
        <v>157</v>
      </c>
      <c r="L99" s="83">
        <v>4.21</v>
      </c>
      <c r="M99" s="81">
        <v>6.0000000000000001E-3</v>
      </c>
      <c r="N99" s="1" t="s">
        <v>199</v>
      </c>
      <c r="O99" s="82">
        <v>44208</v>
      </c>
      <c r="P99" s="1" t="s">
        <v>158</v>
      </c>
      <c r="Q99" s="1" t="s">
        <v>201</v>
      </c>
    </row>
    <row r="100" spans="1:17" x14ac:dyDescent="0.2">
      <c r="A100" s="1" t="s">
        <v>395</v>
      </c>
      <c r="B100" s="1">
        <v>512680</v>
      </c>
      <c r="C100" s="1">
        <v>1.0349999999999999</v>
      </c>
      <c r="D100" s="81">
        <v>-1.0500000000000001E-2</v>
      </c>
      <c r="E100" s="81">
        <v>0</v>
      </c>
      <c r="F100" s="85">
        <v>4079.5</v>
      </c>
      <c r="G100" s="86">
        <v>-0.1467</v>
      </c>
      <c r="H100" s="86">
        <v>-0.20810000000000001</v>
      </c>
      <c r="I100" s="86">
        <v>0.18149999999999999</v>
      </c>
      <c r="J100" s="86">
        <v>0.3019</v>
      </c>
      <c r="K100" s="86" t="s">
        <v>157</v>
      </c>
      <c r="L100" s="83">
        <v>24.7</v>
      </c>
      <c r="M100" s="81">
        <v>6.0000000000000001E-3</v>
      </c>
      <c r="N100" s="1" t="s">
        <v>191</v>
      </c>
      <c r="O100" s="82">
        <v>42657</v>
      </c>
      <c r="P100" s="1" t="s">
        <v>276</v>
      </c>
      <c r="Q100" s="1" t="s">
        <v>159</v>
      </c>
    </row>
    <row r="101" spans="1:17" x14ac:dyDescent="0.2">
      <c r="A101" s="1" t="s">
        <v>396</v>
      </c>
      <c r="B101" s="1">
        <v>510230</v>
      </c>
      <c r="C101" s="1">
        <v>1.1990000000000001</v>
      </c>
      <c r="D101" s="81">
        <v>4.1999999999999997E-3</v>
      </c>
      <c r="E101" s="81">
        <v>8.0000000000000004E-4</v>
      </c>
      <c r="F101" s="85">
        <v>5048.34</v>
      </c>
      <c r="G101" s="86">
        <v>8.0000000000000004E-4</v>
      </c>
      <c r="H101" s="86">
        <v>2.1299999999999999E-2</v>
      </c>
      <c r="I101" s="86">
        <v>0.12790000000000001</v>
      </c>
      <c r="J101" s="86">
        <v>0.1411</v>
      </c>
      <c r="K101" s="86">
        <v>0.56220000000000003</v>
      </c>
      <c r="L101" s="83">
        <v>49.25</v>
      </c>
      <c r="M101" s="81">
        <v>6.0000000000000001E-3</v>
      </c>
      <c r="N101" s="1" t="s">
        <v>397</v>
      </c>
      <c r="O101" s="82">
        <v>40686</v>
      </c>
      <c r="P101" s="1" t="s">
        <v>158</v>
      </c>
      <c r="Q101" s="1" t="s">
        <v>314</v>
      </c>
    </row>
    <row r="102" spans="1:17" x14ac:dyDescent="0.2">
      <c r="A102" s="1" t="s">
        <v>398</v>
      </c>
      <c r="B102" s="1">
        <v>510100</v>
      </c>
      <c r="C102" s="1">
        <v>1.395</v>
      </c>
      <c r="D102" s="81">
        <v>6.9999999999999999E-4</v>
      </c>
      <c r="E102" s="81">
        <v>-2.0999999999999999E-3</v>
      </c>
      <c r="F102" s="85">
        <v>2095.1</v>
      </c>
      <c r="G102" s="86">
        <v>-9.8299999999999998E-2</v>
      </c>
      <c r="H102" s="86">
        <v>-1.4E-3</v>
      </c>
      <c r="I102" s="86">
        <v>0.36359999999999998</v>
      </c>
      <c r="J102" s="86" t="s">
        <v>157</v>
      </c>
      <c r="K102" s="86" t="s">
        <v>157</v>
      </c>
      <c r="L102" s="83">
        <v>4.26</v>
      </c>
      <c r="M102" s="81">
        <v>2E-3</v>
      </c>
      <c r="N102" s="1" t="s">
        <v>243</v>
      </c>
      <c r="O102" s="82">
        <v>43747</v>
      </c>
      <c r="P102" s="1" t="s">
        <v>208</v>
      </c>
      <c r="Q102" s="1" t="s">
        <v>155</v>
      </c>
    </row>
    <row r="103" spans="1:17" x14ac:dyDescent="0.2">
      <c r="A103" s="1" t="s">
        <v>399</v>
      </c>
      <c r="B103" s="1">
        <v>159940</v>
      </c>
      <c r="C103" s="1">
        <v>1.1359999999999999</v>
      </c>
      <c r="D103" s="81">
        <v>8.0000000000000002E-3</v>
      </c>
      <c r="E103" s="81">
        <v>-8.9999999999999998E-4</v>
      </c>
      <c r="F103" s="85">
        <v>794.62</v>
      </c>
      <c r="G103" s="86">
        <v>-7.0000000000000001E-3</v>
      </c>
      <c r="H103" s="86">
        <v>8.8999999999999999E-3</v>
      </c>
      <c r="I103" s="86">
        <v>0.1181</v>
      </c>
      <c r="J103" s="86">
        <v>0.1699</v>
      </c>
      <c r="K103" s="86">
        <v>0.60680000000000001</v>
      </c>
      <c r="L103" s="83">
        <v>19.010000000000002</v>
      </c>
      <c r="M103" s="81">
        <v>6.0000000000000001E-3</v>
      </c>
      <c r="N103" s="1" t="s">
        <v>400</v>
      </c>
      <c r="O103" s="82">
        <v>42111</v>
      </c>
      <c r="P103" s="1" t="s">
        <v>276</v>
      </c>
      <c r="Q103" s="1" t="s">
        <v>314</v>
      </c>
    </row>
    <row r="104" spans="1:17" x14ac:dyDescent="0.2">
      <c r="A104" s="1" t="s">
        <v>401</v>
      </c>
      <c r="B104" s="1">
        <v>512500</v>
      </c>
      <c r="C104" s="1">
        <v>3.2090000000000001</v>
      </c>
      <c r="D104" s="81">
        <v>0</v>
      </c>
      <c r="E104" s="81">
        <v>-5.9999999999999995E-4</v>
      </c>
      <c r="F104" s="85">
        <v>34030.68</v>
      </c>
      <c r="G104" s="86">
        <v>-4.58E-2</v>
      </c>
      <c r="H104" s="86">
        <v>-2.0500000000000001E-2</v>
      </c>
      <c r="I104" s="86">
        <v>0.1404</v>
      </c>
      <c r="J104" s="86">
        <v>6.6500000000000004E-2</v>
      </c>
      <c r="K104" s="86">
        <v>0.20369999999999999</v>
      </c>
      <c r="L104" s="83">
        <v>54.03</v>
      </c>
      <c r="M104" s="81">
        <v>6.0000000000000001E-3</v>
      </c>
      <c r="N104" s="1" t="s">
        <v>205</v>
      </c>
      <c r="O104" s="82">
        <v>42153</v>
      </c>
      <c r="P104" s="1" t="s">
        <v>171</v>
      </c>
      <c r="Q104" s="1" t="s">
        <v>167</v>
      </c>
    </row>
    <row r="105" spans="1:17" x14ac:dyDescent="0.2">
      <c r="A105" s="1" t="s">
        <v>402</v>
      </c>
      <c r="B105" s="1">
        <v>515250</v>
      </c>
      <c r="C105" s="1">
        <v>0.91</v>
      </c>
      <c r="D105" s="81">
        <v>-1.09E-2</v>
      </c>
      <c r="E105" s="81">
        <v>-1.1000000000000001E-3</v>
      </c>
      <c r="F105" s="85">
        <v>2613.6</v>
      </c>
      <c r="G105" s="86">
        <v>-0.1358</v>
      </c>
      <c r="H105" s="86" t="s">
        <v>157</v>
      </c>
      <c r="I105" s="86" t="s">
        <v>157</v>
      </c>
      <c r="J105" s="86" t="s">
        <v>157</v>
      </c>
      <c r="K105" s="86" t="s">
        <v>157</v>
      </c>
      <c r="L105" s="83">
        <v>3.72</v>
      </c>
      <c r="M105" s="81">
        <v>6.0000000000000001E-3</v>
      </c>
      <c r="N105" s="1" t="s">
        <v>403</v>
      </c>
      <c r="O105" s="82">
        <v>44204</v>
      </c>
      <c r="P105" s="1" t="s">
        <v>232</v>
      </c>
      <c r="Q105" s="1" t="s">
        <v>404</v>
      </c>
    </row>
    <row r="106" spans="1:17" x14ac:dyDescent="0.2">
      <c r="A106" s="1" t="s">
        <v>405</v>
      </c>
      <c r="B106" s="1">
        <v>516180</v>
      </c>
      <c r="C106" s="1">
        <v>0.83</v>
      </c>
      <c r="D106" s="81">
        <v>1.34E-2</v>
      </c>
      <c r="E106" s="81">
        <v>-2.3999999999999998E-3</v>
      </c>
      <c r="F106" s="85">
        <v>1138.0899999999999</v>
      </c>
      <c r="G106" s="86" t="s">
        <v>157</v>
      </c>
      <c r="H106" s="86" t="s">
        <v>157</v>
      </c>
      <c r="I106" s="86" t="s">
        <v>157</v>
      </c>
      <c r="J106" s="86" t="s">
        <v>157</v>
      </c>
      <c r="K106" s="86" t="s">
        <v>157</v>
      </c>
      <c r="L106" s="83">
        <v>3.01</v>
      </c>
      <c r="M106" s="81">
        <v>6.0000000000000001E-3</v>
      </c>
      <c r="N106" s="1" t="s">
        <v>195</v>
      </c>
      <c r="O106" s="82">
        <v>44258</v>
      </c>
      <c r="P106" s="1" t="s">
        <v>274</v>
      </c>
      <c r="Q106" s="1" t="s">
        <v>168</v>
      </c>
    </row>
    <row r="107" spans="1:17" x14ac:dyDescent="0.2">
      <c r="A107" s="1" t="s">
        <v>406</v>
      </c>
      <c r="B107" s="1">
        <v>159849</v>
      </c>
      <c r="C107" s="1">
        <v>0.85399999999999998</v>
      </c>
      <c r="D107" s="81">
        <v>1.1999999999999999E-3</v>
      </c>
      <c r="E107" s="81">
        <v>-2.3E-3</v>
      </c>
      <c r="F107" s="85">
        <v>708.38</v>
      </c>
      <c r="G107" s="86" t="s">
        <v>157</v>
      </c>
      <c r="H107" s="86" t="s">
        <v>157</v>
      </c>
      <c r="I107" s="86" t="s">
        <v>157</v>
      </c>
      <c r="J107" s="86" t="s">
        <v>157</v>
      </c>
      <c r="K107" s="86" t="s">
        <v>157</v>
      </c>
      <c r="L107" s="83">
        <v>2.16</v>
      </c>
      <c r="M107" s="81">
        <v>6.0000000000000001E-3</v>
      </c>
      <c r="N107" s="1" t="s">
        <v>321</v>
      </c>
      <c r="O107" s="82">
        <v>44257</v>
      </c>
      <c r="P107" s="1" t="s">
        <v>361</v>
      </c>
      <c r="Q107" s="1" t="s">
        <v>322</v>
      </c>
    </row>
    <row r="108" spans="1:17" x14ac:dyDescent="0.2">
      <c r="A108" s="1" t="s">
        <v>407</v>
      </c>
      <c r="B108" s="1">
        <v>512590</v>
      </c>
      <c r="C108" s="1">
        <v>1.36</v>
      </c>
      <c r="D108" s="81">
        <v>4.4000000000000003E-3</v>
      </c>
      <c r="E108" s="81">
        <v>0</v>
      </c>
      <c r="F108" s="85">
        <v>641.57000000000005</v>
      </c>
      <c r="G108" s="86">
        <v>1.49E-2</v>
      </c>
      <c r="H108" s="86">
        <v>8.2000000000000007E-3</v>
      </c>
      <c r="I108" s="86">
        <v>0.26869999999999999</v>
      </c>
      <c r="J108" s="86" t="s">
        <v>157</v>
      </c>
      <c r="K108" s="86" t="s">
        <v>157</v>
      </c>
      <c r="L108" s="83">
        <v>1.29</v>
      </c>
      <c r="M108" s="81">
        <v>6.0000000000000001E-3</v>
      </c>
      <c r="N108" s="1" t="s">
        <v>408</v>
      </c>
      <c r="O108" s="82">
        <v>43532</v>
      </c>
      <c r="P108" s="1" t="s">
        <v>409</v>
      </c>
      <c r="Q108" s="1" t="s">
        <v>240</v>
      </c>
    </row>
    <row r="109" spans="1:17" x14ac:dyDescent="0.2">
      <c r="A109" s="1" t="s">
        <v>410</v>
      </c>
      <c r="B109" s="1">
        <v>159811</v>
      </c>
      <c r="C109" s="1">
        <v>1.0449999999999999</v>
      </c>
      <c r="D109" s="81">
        <v>-1.14E-2</v>
      </c>
      <c r="E109" s="81">
        <v>1E-3</v>
      </c>
      <c r="F109" s="85">
        <v>1755.97</v>
      </c>
      <c r="G109" s="86">
        <v>-8.6499999999999994E-2</v>
      </c>
      <c r="H109" s="86">
        <v>-8.6499999999999994E-2</v>
      </c>
      <c r="I109" s="86" t="s">
        <v>157</v>
      </c>
      <c r="J109" s="86" t="s">
        <v>157</v>
      </c>
      <c r="K109" s="86" t="s">
        <v>157</v>
      </c>
      <c r="L109" s="83">
        <v>6.18</v>
      </c>
      <c r="M109" s="81">
        <v>5.4999999999999997E-3</v>
      </c>
      <c r="N109" s="1" t="s">
        <v>411</v>
      </c>
      <c r="O109" s="82">
        <v>43943</v>
      </c>
      <c r="P109" s="1" t="s">
        <v>266</v>
      </c>
      <c r="Q109" s="1" t="s">
        <v>237</v>
      </c>
    </row>
    <row r="110" spans="1:17" x14ac:dyDescent="0.2">
      <c r="A110" s="1" t="s">
        <v>412</v>
      </c>
      <c r="B110" s="1">
        <v>510710</v>
      </c>
      <c r="C110" s="1">
        <v>4.3339999999999996</v>
      </c>
      <c r="D110" s="81">
        <v>8.9999999999999998E-4</v>
      </c>
      <c r="E110" s="81">
        <v>-1.6000000000000001E-3</v>
      </c>
      <c r="F110" s="85">
        <v>3200.67</v>
      </c>
      <c r="G110" s="86">
        <v>-9.8599999999999993E-2</v>
      </c>
      <c r="H110" s="86">
        <v>-2.0999999999999999E-3</v>
      </c>
      <c r="I110" s="86">
        <v>0.32129999999999997</v>
      </c>
      <c r="J110" s="86">
        <v>0.41539999999999999</v>
      </c>
      <c r="K110" s="86">
        <v>1.1275999999999999</v>
      </c>
      <c r="L110" s="83">
        <v>7.32</v>
      </c>
      <c r="M110" s="81">
        <v>4.0000000000000001E-3</v>
      </c>
      <c r="N110" s="1" t="s">
        <v>243</v>
      </c>
      <c r="O110" s="82">
        <v>42170</v>
      </c>
      <c r="P110" s="1" t="s">
        <v>266</v>
      </c>
      <c r="Q110" s="1" t="s">
        <v>155</v>
      </c>
    </row>
    <row r="111" spans="1:17" x14ac:dyDescent="0.2">
      <c r="A111" s="1" t="s">
        <v>260</v>
      </c>
      <c r="B111" s="1">
        <v>513660</v>
      </c>
      <c r="C111" s="1">
        <v>2.7570000000000001</v>
      </c>
      <c r="D111" s="81">
        <v>-7.1999999999999998E-3</v>
      </c>
      <c r="E111" s="81">
        <v>-2.5000000000000001E-3</v>
      </c>
      <c r="F111" s="85">
        <v>5209.1099999999997</v>
      </c>
      <c r="G111" s="86">
        <v>-2.3400000000000001E-2</v>
      </c>
      <c r="H111" s="86">
        <v>6.9400000000000003E-2</v>
      </c>
      <c r="I111" s="86">
        <v>0.13039999999999999</v>
      </c>
      <c r="J111" s="86">
        <v>4.8300000000000003E-2</v>
      </c>
      <c r="K111" s="86">
        <v>0.62649999999999995</v>
      </c>
      <c r="L111" s="83">
        <v>10.51</v>
      </c>
      <c r="M111" s="81">
        <v>6.0000000000000001E-3</v>
      </c>
      <c r="N111" s="1" t="s">
        <v>261</v>
      </c>
      <c r="O111" s="82">
        <v>42030</v>
      </c>
      <c r="P111" s="1" t="s">
        <v>171</v>
      </c>
      <c r="Q111" s="1" t="s">
        <v>262</v>
      </c>
    </row>
    <row r="112" spans="1:17" x14ac:dyDescent="0.2">
      <c r="A112" s="1" t="s">
        <v>413</v>
      </c>
      <c r="B112" s="1">
        <v>512810</v>
      </c>
      <c r="C112" s="1">
        <v>1.0369999999999999</v>
      </c>
      <c r="D112" s="81">
        <v>-5.7999999999999996E-3</v>
      </c>
      <c r="E112" s="81">
        <v>0</v>
      </c>
      <c r="F112" s="85">
        <v>1691.99</v>
      </c>
      <c r="G112" s="86">
        <v>-0.1394</v>
      </c>
      <c r="H112" s="86">
        <v>-0.1986</v>
      </c>
      <c r="I112" s="86">
        <v>0.2389</v>
      </c>
      <c r="J112" s="86">
        <v>0.3261</v>
      </c>
      <c r="K112" s="86" t="s">
        <v>157</v>
      </c>
      <c r="L112" s="83">
        <v>1.34</v>
      </c>
      <c r="M112" s="81">
        <v>6.0000000000000001E-3</v>
      </c>
      <c r="N112" s="1" t="s">
        <v>191</v>
      </c>
      <c r="O112" s="82">
        <v>42604</v>
      </c>
      <c r="P112" s="1" t="s">
        <v>200</v>
      </c>
      <c r="Q112" s="1" t="s">
        <v>159</v>
      </c>
    </row>
    <row r="113" spans="1:17" x14ac:dyDescent="0.2">
      <c r="A113" s="1" t="s">
        <v>414</v>
      </c>
      <c r="B113" s="1">
        <v>517050</v>
      </c>
      <c r="C113" s="1">
        <v>0.89</v>
      </c>
      <c r="D113" s="81">
        <v>3.3999999999999998E-3</v>
      </c>
      <c r="E113" s="81">
        <v>-1.1000000000000001E-3</v>
      </c>
      <c r="F113" s="85">
        <v>2584.09</v>
      </c>
      <c r="G113" s="86">
        <v>-0.14180000000000001</v>
      </c>
      <c r="H113" s="86" t="s">
        <v>157</v>
      </c>
      <c r="I113" s="86" t="s">
        <v>157</v>
      </c>
      <c r="J113" s="86" t="s">
        <v>157</v>
      </c>
      <c r="K113" s="86" t="s">
        <v>157</v>
      </c>
      <c r="L113" s="83">
        <v>14.4</v>
      </c>
      <c r="M113" s="81">
        <v>6.0000000000000001E-3</v>
      </c>
      <c r="N113" s="1" t="s">
        <v>415</v>
      </c>
      <c r="O113" s="82">
        <v>44235</v>
      </c>
      <c r="P113" s="1" t="s">
        <v>154</v>
      </c>
      <c r="Q113" s="1" t="s">
        <v>416</v>
      </c>
    </row>
    <row r="114" spans="1:17" x14ac:dyDescent="0.2">
      <c r="A114" s="1" t="s">
        <v>417</v>
      </c>
      <c r="B114" s="1">
        <v>511310</v>
      </c>
      <c r="C114" s="1">
        <v>110.896</v>
      </c>
      <c r="D114" s="81">
        <v>1.9E-3</v>
      </c>
      <c r="E114" s="81">
        <v>0</v>
      </c>
      <c r="F114" s="85">
        <v>6.24</v>
      </c>
      <c r="G114" s="86">
        <v>-4.3499999999999997E-2</v>
      </c>
      <c r="H114" s="86">
        <v>1.37E-2</v>
      </c>
      <c r="I114" s="86">
        <v>1.2999999999999999E-3</v>
      </c>
      <c r="J114" s="86" t="s">
        <v>157</v>
      </c>
      <c r="K114" s="86" t="s">
        <v>157</v>
      </c>
      <c r="L114" s="83">
        <v>0.30399999999999999</v>
      </c>
      <c r="M114" s="81">
        <v>3.0000000000000001E-3</v>
      </c>
      <c r="N114" s="1" t="s">
        <v>418</v>
      </c>
      <c r="O114" s="82">
        <v>43216</v>
      </c>
      <c r="P114" s="1" t="s">
        <v>232</v>
      </c>
      <c r="Q114" s="1" t="s">
        <v>271</v>
      </c>
    </row>
    <row r="115" spans="1:17" x14ac:dyDescent="0.2">
      <c r="A115" s="1" t="s">
        <v>419</v>
      </c>
      <c r="B115" s="1">
        <v>512700</v>
      </c>
      <c r="C115" s="1">
        <v>1.329</v>
      </c>
      <c r="D115" s="81">
        <v>1.2200000000000001E-2</v>
      </c>
      <c r="E115" s="81">
        <v>1.5E-3</v>
      </c>
      <c r="F115" s="85">
        <v>11868.05</v>
      </c>
      <c r="G115" s="86">
        <v>-1.1900000000000001E-2</v>
      </c>
      <c r="H115" s="86">
        <v>0.114</v>
      </c>
      <c r="I115" s="86">
        <v>0.28149999999999997</v>
      </c>
      <c r="J115" s="86">
        <v>0.35859999999999997</v>
      </c>
      <c r="K115" s="86" t="s">
        <v>157</v>
      </c>
      <c r="L115" s="83">
        <v>17.5</v>
      </c>
      <c r="M115" s="81">
        <v>6.0000000000000001E-3</v>
      </c>
      <c r="N115" s="1" t="s">
        <v>213</v>
      </c>
      <c r="O115" s="82">
        <v>42942</v>
      </c>
      <c r="P115" s="1" t="s">
        <v>163</v>
      </c>
      <c r="Q115" s="1" t="s">
        <v>214</v>
      </c>
    </row>
    <row r="116" spans="1:17" x14ac:dyDescent="0.2">
      <c r="A116" s="1" t="s">
        <v>420</v>
      </c>
      <c r="B116" s="1">
        <v>511220</v>
      </c>
      <c r="C116" s="1">
        <v>96.16</v>
      </c>
      <c r="D116" s="81">
        <v>1E-3</v>
      </c>
      <c r="E116" s="81">
        <v>0</v>
      </c>
      <c r="F116" s="85">
        <v>307.39999999999998</v>
      </c>
      <c r="G116" s="86">
        <v>2.7000000000000001E-3</v>
      </c>
      <c r="H116" s="86">
        <v>5.8999999999999999E-3</v>
      </c>
      <c r="I116" s="86">
        <v>8.3000000000000001E-3</v>
      </c>
      <c r="J116" s="86">
        <v>0.14130000000000001</v>
      </c>
      <c r="K116" s="86">
        <v>0.21870000000000001</v>
      </c>
      <c r="L116" s="83">
        <v>13.89</v>
      </c>
      <c r="M116" s="81">
        <v>4.0000000000000001E-3</v>
      </c>
      <c r="N116" s="1" t="s">
        <v>421</v>
      </c>
      <c r="O116" s="82">
        <v>41989</v>
      </c>
      <c r="P116" s="1" t="s">
        <v>422</v>
      </c>
      <c r="Q116" s="1" t="s">
        <v>423</v>
      </c>
    </row>
    <row r="117" spans="1:17" x14ac:dyDescent="0.2">
      <c r="A117" s="1" t="s">
        <v>100</v>
      </c>
      <c r="B117" s="1">
        <v>159976</v>
      </c>
      <c r="C117" s="1">
        <v>1.353</v>
      </c>
      <c r="D117" s="81">
        <v>5.1999999999999998E-3</v>
      </c>
      <c r="E117" s="81">
        <v>-2.8999999999999998E-3</v>
      </c>
      <c r="F117" s="85">
        <v>373.36</v>
      </c>
      <c r="G117" s="86">
        <v>-9.5000000000000001E-2</v>
      </c>
      <c r="H117" s="86">
        <v>6.9999999999999999E-4</v>
      </c>
      <c r="I117" s="86">
        <v>0.3291</v>
      </c>
      <c r="J117" s="86" t="s">
        <v>157</v>
      </c>
      <c r="K117" s="86" t="s">
        <v>157</v>
      </c>
      <c r="L117" s="83">
        <v>2.19</v>
      </c>
      <c r="M117" s="81">
        <v>3.0000000000000001E-3</v>
      </c>
      <c r="N117" s="1" t="s">
        <v>424</v>
      </c>
      <c r="O117" s="82">
        <v>43847</v>
      </c>
      <c r="P117" s="1" t="s">
        <v>319</v>
      </c>
      <c r="Q117" s="1" t="s">
        <v>425</v>
      </c>
    </row>
    <row r="118" spans="1:17" x14ac:dyDescent="0.2">
      <c r="A118" s="1" t="s">
        <v>426</v>
      </c>
      <c r="B118" s="1">
        <v>512990</v>
      </c>
      <c r="C118" s="1">
        <v>1.74</v>
      </c>
      <c r="D118" s="81">
        <v>4.5999999999999999E-3</v>
      </c>
      <c r="E118" s="81">
        <v>-1.6999999999999999E-3</v>
      </c>
      <c r="F118" s="85">
        <v>1763.96</v>
      </c>
      <c r="G118" s="86">
        <v>-0.1225</v>
      </c>
      <c r="H118" s="86">
        <v>-1.5800000000000002E-2</v>
      </c>
      <c r="I118" s="86">
        <v>0.36470000000000002</v>
      </c>
      <c r="J118" s="86">
        <v>0.47210000000000002</v>
      </c>
      <c r="K118" s="86">
        <v>1.0567</v>
      </c>
      <c r="L118" s="83">
        <v>8.4</v>
      </c>
      <c r="M118" s="81">
        <v>6.0000000000000001E-3</v>
      </c>
      <c r="N118" s="1" t="s">
        <v>427</v>
      </c>
      <c r="O118" s="82">
        <v>42088</v>
      </c>
      <c r="P118" s="1" t="s">
        <v>171</v>
      </c>
      <c r="Q118" s="1" t="s">
        <v>428</v>
      </c>
    </row>
    <row r="119" spans="1:17" x14ac:dyDescent="0.2">
      <c r="A119" s="1" t="s">
        <v>429</v>
      </c>
      <c r="B119" s="1">
        <v>159944</v>
      </c>
      <c r="C119" s="1">
        <v>1.0840000000000001</v>
      </c>
      <c r="D119" s="81">
        <v>9.2999999999999992E-3</v>
      </c>
      <c r="E119" s="81">
        <v>5.5999999999999999E-3</v>
      </c>
      <c r="F119" s="85">
        <v>190.71</v>
      </c>
      <c r="G119" s="86">
        <v>-3.4700000000000002E-2</v>
      </c>
      <c r="H119" s="86">
        <v>9.8299999999999998E-2</v>
      </c>
      <c r="I119" s="86">
        <v>0.41149999999999998</v>
      </c>
      <c r="J119" s="86">
        <v>0.1681</v>
      </c>
      <c r="K119" s="86">
        <v>0.57099999999999995</v>
      </c>
      <c r="L119" s="83">
        <v>0.29099999999999998</v>
      </c>
      <c r="M119" s="81">
        <v>6.0000000000000001E-3</v>
      </c>
      <c r="N119" s="1" t="s">
        <v>430</v>
      </c>
      <c r="O119" s="82">
        <v>42191</v>
      </c>
      <c r="P119" s="1" t="s">
        <v>276</v>
      </c>
      <c r="Q119" s="1" t="s">
        <v>431</v>
      </c>
    </row>
    <row r="120" spans="1:17" x14ac:dyDescent="0.2">
      <c r="A120" s="1" t="s">
        <v>432</v>
      </c>
      <c r="B120" s="1">
        <v>588090</v>
      </c>
      <c r="C120" s="1">
        <v>1.3009999999999999</v>
      </c>
      <c r="D120" s="81">
        <v>-4.5999999999999999E-3</v>
      </c>
      <c r="E120" s="81">
        <v>-1.5E-3</v>
      </c>
      <c r="F120" s="85">
        <v>15541.31</v>
      </c>
      <c r="G120" s="86">
        <v>-0.1221</v>
      </c>
      <c r="H120" s="86">
        <v>-9.2700000000000005E-2</v>
      </c>
      <c r="I120" s="86" t="s">
        <v>157</v>
      </c>
      <c r="J120" s="86" t="s">
        <v>157</v>
      </c>
      <c r="K120" s="86" t="s">
        <v>157</v>
      </c>
      <c r="L120" s="83">
        <v>49.84</v>
      </c>
      <c r="M120" s="81">
        <v>6.0000000000000001E-3</v>
      </c>
      <c r="N120" s="1" t="s">
        <v>197</v>
      </c>
      <c r="O120" s="82">
        <v>44151</v>
      </c>
      <c r="P120" s="1" t="s">
        <v>154</v>
      </c>
      <c r="Q120" s="1" t="s">
        <v>167</v>
      </c>
    </row>
    <row r="121" spans="1:17" x14ac:dyDescent="0.2">
      <c r="A121" s="1" t="s">
        <v>433</v>
      </c>
      <c r="B121" s="1">
        <v>512750</v>
      </c>
      <c r="C121" s="1">
        <v>1.1779999999999999</v>
      </c>
      <c r="D121" s="81">
        <v>9.4000000000000004E-3</v>
      </c>
      <c r="E121" s="81">
        <v>-8.0000000000000004E-4</v>
      </c>
      <c r="F121" s="85">
        <v>502.79</v>
      </c>
      <c r="G121" s="86">
        <v>1.12E-2</v>
      </c>
      <c r="H121" s="86">
        <v>4.99E-2</v>
      </c>
      <c r="I121" s="86">
        <v>0.17799999999999999</v>
      </c>
      <c r="J121" s="86" t="s">
        <v>157</v>
      </c>
      <c r="K121" s="86" t="s">
        <v>157</v>
      </c>
      <c r="L121" s="83">
        <v>1.76</v>
      </c>
      <c r="M121" s="81">
        <v>6.0000000000000001E-3</v>
      </c>
      <c r="N121" s="1" t="s">
        <v>434</v>
      </c>
      <c r="O121" s="82">
        <v>43651</v>
      </c>
      <c r="P121" s="1" t="s">
        <v>435</v>
      </c>
      <c r="Q121" s="1" t="s">
        <v>436</v>
      </c>
    </row>
    <row r="122" spans="1:17" x14ac:dyDescent="0.2">
      <c r="A122" s="1" t="s">
        <v>437</v>
      </c>
      <c r="B122" s="1">
        <v>515870</v>
      </c>
      <c r="C122" s="1">
        <v>1.329</v>
      </c>
      <c r="D122" s="81">
        <v>-2.3E-3</v>
      </c>
      <c r="E122" s="81">
        <v>-8.0000000000000004E-4</v>
      </c>
      <c r="F122" s="85">
        <v>262.13</v>
      </c>
      <c r="G122" s="86">
        <v>-7.9000000000000001E-2</v>
      </c>
      <c r="H122" s="86">
        <v>1.6799999999999999E-2</v>
      </c>
      <c r="I122" s="86">
        <v>0.30170000000000002</v>
      </c>
      <c r="J122" s="86" t="s">
        <v>157</v>
      </c>
      <c r="K122" s="86" t="s">
        <v>157</v>
      </c>
      <c r="L122" s="83">
        <v>0.52900000000000003</v>
      </c>
      <c r="M122" s="81">
        <v>6.0000000000000001E-3</v>
      </c>
      <c r="N122" s="1" t="s">
        <v>438</v>
      </c>
      <c r="O122" s="82">
        <v>43847</v>
      </c>
      <c r="P122" s="1" t="s">
        <v>435</v>
      </c>
      <c r="Q122" s="1" t="s">
        <v>436</v>
      </c>
    </row>
    <row r="123" spans="1:17" x14ac:dyDescent="0.2">
      <c r="A123" s="1" t="s">
        <v>439</v>
      </c>
      <c r="B123" s="1">
        <v>513080</v>
      </c>
      <c r="C123" s="1">
        <v>1.1870000000000001</v>
      </c>
      <c r="D123" s="81">
        <v>-3.8100000000000002E-2</v>
      </c>
      <c r="E123" s="81">
        <v>-8.0000000000000004E-4</v>
      </c>
      <c r="F123" s="85">
        <v>327.20999999999998</v>
      </c>
      <c r="G123" s="86">
        <v>4.8599999999999997E-2</v>
      </c>
      <c r="H123" s="86">
        <v>4.4900000000000002E-2</v>
      </c>
      <c r="I123" s="86" t="s">
        <v>157</v>
      </c>
      <c r="J123" s="86" t="s">
        <v>157</v>
      </c>
      <c r="K123" s="86" t="s">
        <v>157</v>
      </c>
      <c r="L123" s="83">
        <v>0.52600000000000002</v>
      </c>
      <c r="M123" s="81">
        <v>6.4999999999999997E-3</v>
      </c>
      <c r="N123" s="1" t="s">
        <v>440</v>
      </c>
      <c r="O123" s="82">
        <v>43994</v>
      </c>
      <c r="P123" s="1" t="s">
        <v>166</v>
      </c>
      <c r="Q123" s="1" t="s">
        <v>441</v>
      </c>
    </row>
    <row r="124" spans="1:17" x14ac:dyDescent="0.2">
      <c r="A124" s="1" t="s">
        <v>442</v>
      </c>
      <c r="B124" s="1">
        <v>512120</v>
      </c>
      <c r="C124" s="1">
        <v>2.23</v>
      </c>
      <c r="D124" s="81">
        <v>-4.0000000000000002E-4</v>
      </c>
      <c r="E124" s="81">
        <v>-8.9999999999999998E-4</v>
      </c>
      <c r="F124" s="85">
        <v>409.96</v>
      </c>
      <c r="G124" s="86">
        <v>-0.1804</v>
      </c>
      <c r="H124" s="86">
        <v>-6.0699999999999997E-2</v>
      </c>
      <c r="I124" s="86">
        <v>0.33050000000000002</v>
      </c>
      <c r="J124" s="86">
        <v>0.35560000000000003</v>
      </c>
      <c r="K124" s="86">
        <v>0.93910000000000005</v>
      </c>
      <c r="L124" s="83">
        <v>1.63</v>
      </c>
      <c r="M124" s="81">
        <v>6.0000000000000001E-3</v>
      </c>
      <c r="N124" s="1" t="s">
        <v>443</v>
      </c>
      <c r="O124" s="82">
        <v>41645</v>
      </c>
      <c r="P124" s="1" t="s">
        <v>166</v>
      </c>
      <c r="Q124" s="1" t="s">
        <v>201</v>
      </c>
    </row>
    <row r="125" spans="1:17" x14ac:dyDescent="0.2">
      <c r="A125" s="1" t="s">
        <v>444</v>
      </c>
      <c r="B125" s="1">
        <v>159843</v>
      </c>
      <c r="C125" s="1">
        <v>0.85499999999999998</v>
      </c>
      <c r="D125" s="81">
        <v>-1.1999999999999999E-3</v>
      </c>
      <c r="E125" s="81">
        <v>0</v>
      </c>
      <c r="F125" s="85">
        <v>1746.4</v>
      </c>
      <c r="G125" s="86">
        <v>-0.21990000000000001</v>
      </c>
      <c r="H125" s="86" t="s">
        <v>157</v>
      </c>
      <c r="I125" s="86" t="s">
        <v>157</v>
      </c>
      <c r="J125" s="86" t="s">
        <v>157</v>
      </c>
      <c r="K125" s="86" t="s">
        <v>157</v>
      </c>
      <c r="L125" s="83">
        <v>6.88</v>
      </c>
      <c r="M125" s="81">
        <v>6.0000000000000001E-3</v>
      </c>
      <c r="N125" s="1" t="s">
        <v>445</v>
      </c>
      <c r="O125" s="82">
        <v>44232</v>
      </c>
      <c r="P125" s="1" t="s">
        <v>361</v>
      </c>
      <c r="Q125" s="1" t="s">
        <v>280</v>
      </c>
    </row>
    <row r="126" spans="1:17" x14ac:dyDescent="0.2">
      <c r="A126" s="1" t="s">
        <v>151</v>
      </c>
      <c r="B126" s="1">
        <v>515290</v>
      </c>
      <c r="C126" s="1">
        <v>1.1220000000000001</v>
      </c>
      <c r="D126" s="81">
        <v>9.9000000000000008E-3</v>
      </c>
      <c r="E126" s="81">
        <v>-8.9999999999999998E-4</v>
      </c>
      <c r="F126" s="85">
        <v>9292.81</v>
      </c>
      <c r="G126" s="86">
        <v>-1.23E-2</v>
      </c>
      <c r="H126" s="86">
        <v>0.1109</v>
      </c>
      <c r="I126" s="86" t="s">
        <v>157</v>
      </c>
      <c r="J126" s="86" t="s">
        <v>157</v>
      </c>
      <c r="K126" s="86" t="s">
        <v>157</v>
      </c>
      <c r="L126" s="83">
        <v>0.35299999999999998</v>
      </c>
      <c r="M126" s="81">
        <v>6.0000000000000001E-3</v>
      </c>
      <c r="N126" s="1" t="s">
        <v>213</v>
      </c>
      <c r="O126" s="82">
        <v>44193</v>
      </c>
      <c r="P126" s="1" t="s">
        <v>446</v>
      </c>
      <c r="Q126" s="1" t="s">
        <v>214</v>
      </c>
    </row>
    <row r="127" spans="1:17" x14ac:dyDescent="0.2">
      <c r="A127" s="1" t="s">
        <v>447</v>
      </c>
      <c r="B127" s="1">
        <v>516800</v>
      </c>
      <c r="C127" s="1">
        <v>0.90300000000000002</v>
      </c>
      <c r="D127" s="81">
        <v>-7.7000000000000002E-3</v>
      </c>
      <c r="E127" s="81">
        <v>-1.1000000000000001E-3</v>
      </c>
      <c r="F127" s="85">
        <v>1494.25</v>
      </c>
      <c r="G127" s="86" t="s">
        <v>157</v>
      </c>
      <c r="H127" s="86" t="s">
        <v>157</v>
      </c>
      <c r="I127" s="86" t="s">
        <v>157</v>
      </c>
      <c r="J127" s="86" t="s">
        <v>157</v>
      </c>
      <c r="K127" s="86" t="s">
        <v>157</v>
      </c>
      <c r="L127" s="83">
        <v>8.42</v>
      </c>
      <c r="M127" s="81">
        <v>6.0000000000000001E-3</v>
      </c>
      <c r="N127" s="1" t="s">
        <v>448</v>
      </c>
      <c r="O127" s="82">
        <v>44246</v>
      </c>
      <c r="P127" s="1" t="s">
        <v>200</v>
      </c>
      <c r="Q127" s="1" t="s">
        <v>449</v>
      </c>
    </row>
    <row r="128" spans="1:17" x14ac:dyDescent="0.2">
      <c r="A128" s="1" t="s">
        <v>450</v>
      </c>
      <c r="B128" s="1">
        <v>515750</v>
      </c>
      <c r="C128" s="1">
        <v>1.3859999999999999</v>
      </c>
      <c r="D128" s="81">
        <v>-7.1999999999999998E-3</v>
      </c>
      <c r="E128" s="81">
        <v>-6.9999999999999999E-4</v>
      </c>
      <c r="F128" s="85">
        <v>2279.3200000000002</v>
      </c>
      <c r="G128" s="86">
        <v>-0.13270000000000001</v>
      </c>
      <c r="H128" s="86">
        <v>-7.3499999999999996E-2</v>
      </c>
      <c r="I128" s="86">
        <v>9.6500000000000002E-2</v>
      </c>
      <c r="J128" s="86" t="s">
        <v>157</v>
      </c>
      <c r="K128" s="86" t="s">
        <v>157</v>
      </c>
      <c r="L128" s="83">
        <v>17.53</v>
      </c>
      <c r="M128" s="81">
        <v>6.0000000000000001E-3</v>
      </c>
      <c r="N128" s="1" t="s">
        <v>451</v>
      </c>
      <c r="O128" s="82">
        <v>43805</v>
      </c>
      <c r="P128" s="1" t="s">
        <v>232</v>
      </c>
      <c r="Q128" s="1" t="s">
        <v>259</v>
      </c>
    </row>
    <row r="129" spans="1:17" x14ac:dyDescent="0.2">
      <c r="A129" s="1" t="s">
        <v>452</v>
      </c>
      <c r="B129" s="1">
        <v>159986</v>
      </c>
      <c r="C129" s="1">
        <v>1.42</v>
      </c>
      <c r="D129" s="81">
        <v>-2.8E-3</v>
      </c>
      <c r="E129" s="81">
        <v>-5.5999999999999999E-3</v>
      </c>
      <c r="F129" s="85">
        <v>209.24</v>
      </c>
      <c r="G129" s="86">
        <v>-0.1787</v>
      </c>
      <c r="H129" s="86">
        <v>-7.0699999999999999E-2</v>
      </c>
      <c r="I129" s="86">
        <v>0.32340000000000002</v>
      </c>
      <c r="J129" s="86" t="s">
        <v>157</v>
      </c>
      <c r="K129" s="86" t="s">
        <v>157</v>
      </c>
      <c r="L129" s="83">
        <v>0.90600000000000003</v>
      </c>
      <c r="M129" s="81">
        <v>4.0000000000000001E-3</v>
      </c>
      <c r="N129" s="1" t="s">
        <v>453</v>
      </c>
      <c r="O129" s="82">
        <v>43850</v>
      </c>
      <c r="P129" s="1" t="s">
        <v>454</v>
      </c>
      <c r="Q129" s="1" t="s">
        <v>174</v>
      </c>
    </row>
    <row r="130" spans="1:17" x14ac:dyDescent="0.2">
      <c r="A130" s="1" t="s">
        <v>455</v>
      </c>
      <c r="B130" s="1">
        <v>159821</v>
      </c>
      <c r="C130" s="1">
        <v>1.0249999999999999</v>
      </c>
      <c r="D130" s="81">
        <v>1E-3</v>
      </c>
      <c r="E130" s="81">
        <v>1E-3</v>
      </c>
      <c r="F130" s="85">
        <v>36.26</v>
      </c>
      <c r="G130" s="86">
        <v>-0.19040000000000001</v>
      </c>
      <c r="H130" s="86">
        <v>-7.2400000000000006E-2</v>
      </c>
      <c r="I130" s="86" t="s">
        <v>157</v>
      </c>
      <c r="J130" s="86" t="s">
        <v>157</v>
      </c>
      <c r="K130" s="86" t="s">
        <v>157</v>
      </c>
      <c r="L130" s="83">
        <v>0.46899999999999997</v>
      </c>
      <c r="M130" s="81">
        <v>2E-3</v>
      </c>
      <c r="N130" s="1" t="s">
        <v>215</v>
      </c>
      <c r="O130" s="82">
        <v>44133</v>
      </c>
      <c r="P130" s="1" t="s">
        <v>80</v>
      </c>
      <c r="Q130" s="1" t="s">
        <v>167</v>
      </c>
    </row>
    <row r="131" spans="1:17" x14ac:dyDescent="0.2">
      <c r="A131" s="1" t="s">
        <v>456</v>
      </c>
      <c r="B131" s="1">
        <v>513900</v>
      </c>
      <c r="C131" s="1">
        <v>1.17</v>
      </c>
      <c r="D131" s="81">
        <v>0</v>
      </c>
      <c r="E131" s="81">
        <v>8.9999999999999998E-4</v>
      </c>
      <c r="F131" s="85">
        <v>6191.68</v>
      </c>
      <c r="G131" s="86">
        <v>-5.1900000000000002E-2</v>
      </c>
      <c r="H131" s="86">
        <v>4.4600000000000001E-2</v>
      </c>
      <c r="I131" s="86">
        <v>0.254</v>
      </c>
      <c r="J131" s="86" t="s">
        <v>157</v>
      </c>
      <c r="K131" s="86" t="s">
        <v>157</v>
      </c>
      <c r="L131" s="83">
        <v>0.36899999999999999</v>
      </c>
      <c r="M131" s="81">
        <v>7.0000000000000001E-3</v>
      </c>
      <c r="N131" s="1" t="s">
        <v>457</v>
      </c>
      <c r="O131" s="82">
        <v>43245</v>
      </c>
      <c r="P131" s="1" t="s">
        <v>166</v>
      </c>
      <c r="Q131" s="1" t="s">
        <v>262</v>
      </c>
    </row>
    <row r="132" spans="1:17" x14ac:dyDescent="0.2">
      <c r="A132" s="1" t="s">
        <v>458</v>
      </c>
      <c r="B132" s="1">
        <v>159820</v>
      </c>
      <c r="C132" s="1">
        <v>0.95599999999999996</v>
      </c>
      <c r="D132" s="81">
        <v>3.0999999999999999E-3</v>
      </c>
      <c r="E132" s="81">
        <v>0</v>
      </c>
      <c r="F132" s="85">
        <v>3315.02</v>
      </c>
      <c r="G132" s="86">
        <v>-4.3999999999999997E-2</v>
      </c>
      <c r="H132" s="86">
        <v>-1.7500000000000002E-2</v>
      </c>
      <c r="I132" s="86" t="s">
        <v>157</v>
      </c>
      <c r="J132" s="86" t="s">
        <v>157</v>
      </c>
      <c r="K132" s="86" t="s">
        <v>157</v>
      </c>
      <c r="L132" s="83">
        <v>24.08</v>
      </c>
      <c r="M132" s="81">
        <v>6.0000000000000001E-3</v>
      </c>
      <c r="N132" s="1" t="s">
        <v>205</v>
      </c>
      <c r="O132" s="82">
        <v>44067</v>
      </c>
      <c r="P132" s="1" t="s">
        <v>446</v>
      </c>
      <c r="Q132" s="1" t="s">
        <v>167</v>
      </c>
    </row>
    <row r="133" spans="1:17" x14ac:dyDescent="0.2">
      <c r="A133" s="1" t="s">
        <v>459</v>
      </c>
      <c r="B133" s="1">
        <v>512260</v>
      </c>
      <c r="C133" s="1">
        <v>1.385</v>
      </c>
      <c r="D133" s="81">
        <v>5.7999999999999996E-3</v>
      </c>
      <c r="E133" s="81">
        <v>0</v>
      </c>
      <c r="F133" s="85">
        <v>523.91</v>
      </c>
      <c r="G133" s="86">
        <v>4.9200000000000001E-2</v>
      </c>
      <c r="H133" s="86">
        <v>2.29E-2</v>
      </c>
      <c r="I133" s="86">
        <v>0.13059999999999999</v>
      </c>
      <c r="J133" s="86" t="s">
        <v>157</v>
      </c>
      <c r="K133" s="86" t="s">
        <v>157</v>
      </c>
      <c r="L133" s="83">
        <v>1.57</v>
      </c>
      <c r="M133" s="81">
        <v>6.0000000000000001E-3</v>
      </c>
      <c r="N133" s="1" t="s">
        <v>460</v>
      </c>
      <c r="O133" s="82">
        <v>43476</v>
      </c>
      <c r="P133" s="1" t="s">
        <v>166</v>
      </c>
      <c r="Q133" s="1" t="s">
        <v>348</v>
      </c>
    </row>
    <row r="134" spans="1:17" x14ac:dyDescent="0.2">
      <c r="A134" s="1" t="s">
        <v>150</v>
      </c>
      <c r="B134" s="1">
        <v>159939</v>
      </c>
      <c r="C134" s="1">
        <v>1.2649999999999999</v>
      </c>
      <c r="D134" s="81">
        <v>-1.4800000000000001E-2</v>
      </c>
      <c r="E134" s="81">
        <v>8.0000000000000004E-4</v>
      </c>
      <c r="F134" s="85">
        <v>1861.85</v>
      </c>
      <c r="G134" s="86">
        <v>-7.46E-2</v>
      </c>
      <c r="H134" s="86">
        <v>-9.2499999999999999E-2</v>
      </c>
      <c r="I134" s="86">
        <v>-5.2400000000000002E-2</v>
      </c>
      <c r="J134" s="86">
        <v>0.11849999999999999</v>
      </c>
      <c r="K134" s="86">
        <v>0.26750000000000002</v>
      </c>
      <c r="L134" s="83">
        <v>15.29</v>
      </c>
      <c r="M134" s="81">
        <v>6.0000000000000001E-3</v>
      </c>
      <c r="N134" s="1" t="s">
        <v>461</v>
      </c>
      <c r="O134" s="82">
        <v>42040</v>
      </c>
      <c r="P134" s="1" t="s">
        <v>276</v>
      </c>
      <c r="Q134" s="1" t="s">
        <v>257</v>
      </c>
    </row>
    <row r="135" spans="1:17" x14ac:dyDescent="0.2">
      <c r="A135" s="1" t="s">
        <v>462</v>
      </c>
      <c r="B135" s="1">
        <v>512560</v>
      </c>
      <c r="C135" s="1">
        <v>1.1519999999999999</v>
      </c>
      <c r="D135" s="81">
        <v>-6.8999999999999999E-3</v>
      </c>
      <c r="E135" s="81">
        <v>0</v>
      </c>
      <c r="F135" s="85">
        <v>2566.79</v>
      </c>
      <c r="G135" s="86">
        <v>-0.1479</v>
      </c>
      <c r="H135" s="86">
        <v>-0.21260000000000001</v>
      </c>
      <c r="I135" s="86">
        <v>0.2374</v>
      </c>
      <c r="J135" s="86">
        <v>0.28720000000000001</v>
      </c>
      <c r="K135" s="86" t="s">
        <v>157</v>
      </c>
      <c r="L135" s="83">
        <v>1.76</v>
      </c>
      <c r="M135" s="81">
        <v>6.0000000000000001E-3</v>
      </c>
      <c r="N135" s="1" t="s">
        <v>191</v>
      </c>
      <c r="O135" s="82">
        <v>42944</v>
      </c>
      <c r="P135" s="1" t="s">
        <v>208</v>
      </c>
      <c r="Q135" s="1" t="s">
        <v>159</v>
      </c>
    </row>
    <row r="136" spans="1:17" x14ac:dyDescent="0.2">
      <c r="A136" s="1" t="s">
        <v>96</v>
      </c>
      <c r="B136" s="1">
        <v>159994</v>
      </c>
      <c r="C136" s="1">
        <v>0.86</v>
      </c>
      <c r="D136" s="81">
        <v>-1.83E-2</v>
      </c>
      <c r="E136" s="81">
        <v>0</v>
      </c>
      <c r="F136" s="85">
        <v>14490.42</v>
      </c>
      <c r="G136" s="86">
        <v>-9.7600000000000006E-2</v>
      </c>
      <c r="H136" s="86">
        <v>-0.126</v>
      </c>
      <c r="I136" s="86">
        <v>-0.1502</v>
      </c>
      <c r="J136" s="86" t="s">
        <v>157</v>
      </c>
      <c r="K136" s="86" t="s">
        <v>157</v>
      </c>
      <c r="L136" s="83">
        <v>47.36</v>
      </c>
      <c r="M136" s="81">
        <v>6.0000000000000001E-3</v>
      </c>
      <c r="N136" s="1" t="s">
        <v>236</v>
      </c>
      <c r="O136" s="82">
        <v>43889</v>
      </c>
      <c r="P136" s="1" t="s">
        <v>249</v>
      </c>
      <c r="Q136" s="1" t="s">
        <v>237</v>
      </c>
    </row>
    <row r="137" spans="1:17" x14ac:dyDescent="0.2">
      <c r="A137" s="1" t="s">
        <v>463</v>
      </c>
      <c r="B137" s="1">
        <v>159813</v>
      </c>
      <c r="C137" s="1">
        <v>1.0589999999999999</v>
      </c>
      <c r="D137" s="81">
        <v>-1.5800000000000002E-2</v>
      </c>
      <c r="E137" s="81">
        <v>3.8E-3</v>
      </c>
      <c r="F137" s="85">
        <v>4212.5600000000004</v>
      </c>
      <c r="G137" s="86">
        <v>-0.1041</v>
      </c>
      <c r="H137" s="86">
        <v>-5.7000000000000002E-2</v>
      </c>
      <c r="I137" s="86" t="s">
        <v>157</v>
      </c>
      <c r="J137" s="86" t="s">
        <v>157</v>
      </c>
      <c r="K137" s="86" t="s">
        <v>157</v>
      </c>
      <c r="L137" s="83">
        <v>7.24</v>
      </c>
      <c r="M137" s="81">
        <v>6.0000000000000001E-3</v>
      </c>
      <c r="N137" s="1" t="s">
        <v>202</v>
      </c>
      <c r="O137" s="82">
        <v>43976</v>
      </c>
      <c r="P137" s="1" t="s">
        <v>160</v>
      </c>
      <c r="Q137" s="1" t="s">
        <v>203</v>
      </c>
    </row>
    <row r="138" spans="1:17" x14ac:dyDescent="0.2">
      <c r="A138" s="1" t="s">
        <v>464</v>
      </c>
      <c r="B138" s="1">
        <v>516120</v>
      </c>
      <c r="C138" s="1">
        <v>0.96299999999999997</v>
      </c>
      <c r="D138" s="81">
        <v>2.01E-2</v>
      </c>
      <c r="E138" s="81">
        <v>-2.0999999999999999E-3</v>
      </c>
      <c r="F138" s="85">
        <v>5913.85</v>
      </c>
      <c r="G138" s="86" t="s">
        <v>157</v>
      </c>
      <c r="H138" s="86" t="s">
        <v>157</v>
      </c>
      <c r="I138" s="86" t="s">
        <v>157</v>
      </c>
      <c r="J138" s="86" t="s">
        <v>157</v>
      </c>
      <c r="K138" s="86" t="s">
        <v>157</v>
      </c>
      <c r="L138" s="83">
        <v>22.58</v>
      </c>
      <c r="M138" s="81">
        <v>6.0000000000000001E-3</v>
      </c>
      <c r="N138" s="1" t="s">
        <v>281</v>
      </c>
      <c r="O138" s="82">
        <v>44264</v>
      </c>
      <c r="P138" s="1" t="s">
        <v>232</v>
      </c>
      <c r="Q138" s="1" t="s">
        <v>282</v>
      </c>
    </row>
    <row r="139" spans="1:17" x14ac:dyDescent="0.2">
      <c r="A139" s="1" t="s">
        <v>465</v>
      </c>
      <c r="B139" s="1">
        <v>159902</v>
      </c>
      <c r="C139" s="1">
        <v>4.5419999999999998</v>
      </c>
      <c r="D139" s="81">
        <v>-2.5999999999999999E-3</v>
      </c>
      <c r="E139" s="81">
        <v>-2.0000000000000001E-4</v>
      </c>
      <c r="F139" s="85">
        <v>3089</v>
      </c>
      <c r="G139" s="86">
        <v>-0.14979999999999999</v>
      </c>
      <c r="H139" s="86">
        <v>-3.4799999999999998E-2</v>
      </c>
      <c r="I139" s="86">
        <v>0.27229999999999999</v>
      </c>
      <c r="J139" s="86">
        <v>0.2286</v>
      </c>
      <c r="K139" s="86">
        <v>0.58040000000000003</v>
      </c>
      <c r="L139" s="83">
        <v>14.88</v>
      </c>
      <c r="M139" s="81">
        <v>6.0000000000000001E-3</v>
      </c>
      <c r="N139" s="1" t="s">
        <v>466</v>
      </c>
      <c r="O139" s="82">
        <v>38965</v>
      </c>
      <c r="P139" s="1" t="s">
        <v>171</v>
      </c>
      <c r="Q139" s="1" t="s">
        <v>167</v>
      </c>
    </row>
    <row r="140" spans="1:17" x14ac:dyDescent="0.2">
      <c r="A140" s="1" t="s">
        <v>71</v>
      </c>
      <c r="B140" s="1">
        <v>516010</v>
      </c>
      <c r="C140" s="1">
        <v>0.96699999999999997</v>
      </c>
      <c r="D140" s="81">
        <v>-2.2200000000000001E-2</v>
      </c>
      <c r="E140" s="81">
        <v>0</v>
      </c>
      <c r="F140" s="85">
        <v>6128.48</v>
      </c>
      <c r="G140" s="86" t="s">
        <v>157</v>
      </c>
      <c r="H140" s="86" t="s">
        <v>157</v>
      </c>
      <c r="I140" s="86" t="s">
        <v>157</v>
      </c>
      <c r="J140" s="86" t="s">
        <v>157</v>
      </c>
      <c r="K140" s="86" t="s">
        <v>157</v>
      </c>
      <c r="L140" s="83">
        <v>8.48</v>
      </c>
      <c r="M140" s="81">
        <v>6.0000000000000001E-3</v>
      </c>
      <c r="N140" s="1" t="s">
        <v>352</v>
      </c>
      <c r="O140" s="82">
        <v>44260</v>
      </c>
      <c r="P140" s="1" t="s">
        <v>158</v>
      </c>
      <c r="Q140" s="1" t="s">
        <v>353</v>
      </c>
    </row>
    <row r="141" spans="1:17" x14ac:dyDescent="0.2">
      <c r="A141" s="1" t="s">
        <v>76</v>
      </c>
      <c r="B141" s="1">
        <v>159997</v>
      </c>
      <c r="C141" s="1">
        <v>1.1519999999999999</v>
      </c>
      <c r="D141" s="81">
        <v>-1.12E-2</v>
      </c>
      <c r="E141" s="81">
        <v>0</v>
      </c>
      <c r="F141" s="85">
        <v>9875.07</v>
      </c>
      <c r="G141" s="86">
        <v>-9.8599999999999993E-2</v>
      </c>
      <c r="H141" s="86">
        <v>-7.3999999999999996E-2</v>
      </c>
      <c r="I141" s="86" t="s">
        <v>157</v>
      </c>
      <c r="J141" s="86" t="s">
        <v>157</v>
      </c>
      <c r="K141" s="86" t="s">
        <v>157</v>
      </c>
      <c r="L141" s="83">
        <v>26.24</v>
      </c>
      <c r="M141" s="81">
        <v>6.0000000000000001E-3</v>
      </c>
      <c r="N141" s="1" t="s">
        <v>467</v>
      </c>
      <c r="O141" s="82">
        <v>43910</v>
      </c>
      <c r="P141" s="1" t="s">
        <v>446</v>
      </c>
      <c r="Q141" s="1" t="s">
        <v>468</v>
      </c>
    </row>
    <row r="142" spans="1:17" x14ac:dyDescent="0.2">
      <c r="A142" s="1" t="s">
        <v>67</v>
      </c>
      <c r="B142" s="1">
        <v>588050</v>
      </c>
      <c r="C142" s="1">
        <v>1.2909999999999999</v>
      </c>
      <c r="D142" s="81">
        <v>-4.5999999999999999E-3</v>
      </c>
      <c r="E142" s="81">
        <v>1.6000000000000001E-3</v>
      </c>
      <c r="F142" s="85">
        <v>16938.22</v>
      </c>
      <c r="G142" s="86">
        <v>-0.11940000000000001</v>
      </c>
      <c r="H142" s="86">
        <v>-9.2100000000000001E-2</v>
      </c>
      <c r="I142" s="86" t="s">
        <v>157</v>
      </c>
      <c r="J142" s="86" t="s">
        <v>157</v>
      </c>
      <c r="K142" s="86" t="s">
        <v>157</v>
      </c>
      <c r="L142" s="83">
        <v>49.21</v>
      </c>
      <c r="M142" s="81">
        <v>6.0000000000000001E-3</v>
      </c>
      <c r="N142" s="1" t="s">
        <v>197</v>
      </c>
      <c r="O142" s="82">
        <v>44151</v>
      </c>
      <c r="P142" s="1" t="s">
        <v>319</v>
      </c>
      <c r="Q142" s="1" t="s">
        <v>167</v>
      </c>
    </row>
    <row r="143" spans="1:17" x14ac:dyDescent="0.2">
      <c r="A143" s="1" t="s">
        <v>74</v>
      </c>
      <c r="B143" s="1">
        <v>515630</v>
      </c>
      <c r="C143" s="1">
        <v>1.204</v>
      </c>
      <c r="D143" s="81">
        <v>0</v>
      </c>
      <c r="E143" s="81">
        <v>8.0000000000000004E-4</v>
      </c>
      <c r="F143" s="85">
        <v>1168.48</v>
      </c>
      <c r="G143" s="86">
        <v>-3.3700000000000001E-2</v>
      </c>
      <c r="H143" s="86">
        <v>-8.9899999999999994E-2</v>
      </c>
      <c r="I143" s="86" t="s">
        <v>157</v>
      </c>
      <c r="J143" s="86" t="s">
        <v>157</v>
      </c>
      <c r="K143" s="86" t="s">
        <v>157</v>
      </c>
      <c r="L143" s="83">
        <v>2.04</v>
      </c>
      <c r="M143" s="81">
        <v>6.0000000000000001E-3</v>
      </c>
      <c r="N143" s="1" t="s">
        <v>469</v>
      </c>
      <c r="O143" s="82">
        <v>43924</v>
      </c>
      <c r="P143" s="1" t="s">
        <v>160</v>
      </c>
      <c r="Q143" s="1" t="s">
        <v>470</v>
      </c>
    </row>
    <row r="144" spans="1:17" x14ac:dyDescent="0.2">
      <c r="A144" s="1" t="s">
        <v>92</v>
      </c>
      <c r="B144" s="1">
        <v>159922</v>
      </c>
      <c r="C144" s="1">
        <v>6.83</v>
      </c>
      <c r="D144" s="81">
        <v>2.8E-3</v>
      </c>
      <c r="E144" s="81">
        <v>6.9999999999999999E-4</v>
      </c>
      <c r="F144" s="85">
        <v>12850.01</v>
      </c>
      <c r="G144" s="86">
        <v>-4.3400000000000001E-2</v>
      </c>
      <c r="H144" s="86">
        <v>-1.78E-2</v>
      </c>
      <c r="I144" s="86">
        <v>0.15409999999999999</v>
      </c>
      <c r="J144" s="86">
        <v>7.2700000000000001E-2</v>
      </c>
      <c r="K144" s="86">
        <v>0.2505</v>
      </c>
      <c r="L144" s="83">
        <v>36.78</v>
      </c>
      <c r="M144" s="81">
        <v>2E-3</v>
      </c>
      <c r="N144" s="1" t="s">
        <v>205</v>
      </c>
      <c r="O144" s="82">
        <v>41348</v>
      </c>
      <c r="P144" s="1" t="s">
        <v>435</v>
      </c>
      <c r="Q144" s="1" t="s">
        <v>167</v>
      </c>
    </row>
    <row r="145" spans="1:17" x14ac:dyDescent="0.2">
      <c r="A145" s="1" t="s">
        <v>76</v>
      </c>
      <c r="B145" s="1">
        <v>515260</v>
      </c>
      <c r="C145" s="1">
        <v>0.91500000000000004</v>
      </c>
      <c r="D145" s="81">
        <v>-1.29E-2</v>
      </c>
      <c r="E145" s="81">
        <v>1.1000000000000001E-3</v>
      </c>
      <c r="F145" s="85">
        <v>5893.8</v>
      </c>
      <c r="G145" s="86">
        <v>-0.1168</v>
      </c>
      <c r="H145" s="86">
        <v>-8.6800000000000002E-2</v>
      </c>
      <c r="I145" s="86" t="s">
        <v>157</v>
      </c>
      <c r="J145" s="86" t="s">
        <v>157</v>
      </c>
      <c r="K145" s="86" t="s">
        <v>157</v>
      </c>
      <c r="L145" s="83">
        <v>24.56</v>
      </c>
      <c r="M145" s="81">
        <v>6.0000000000000001E-3</v>
      </c>
      <c r="N145" s="1" t="s">
        <v>471</v>
      </c>
      <c r="O145" s="82">
        <v>44043</v>
      </c>
      <c r="P145" s="1" t="s">
        <v>200</v>
      </c>
      <c r="Q145" s="1" t="s">
        <v>468</v>
      </c>
    </row>
    <row r="146" spans="1:17" x14ac:dyDescent="0.2">
      <c r="A146" s="1" t="s">
        <v>472</v>
      </c>
      <c r="B146" s="1">
        <v>159958</v>
      </c>
      <c r="C146" s="1">
        <v>1.597</v>
      </c>
      <c r="D146" s="81">
        <v>2.5000000000000001E-3</v>
      </c>
      <c r="E146" s="81">
        <v>-1.2999999999999999E-3</v>
      </c>
      <c r="F146" s="85">
        <v>2527.85</v>
      </c>
      <c r="G146" s="86">
        <v>-0.19220000000000001</v>
      </c>
      <c r="H146" s="86">
        <v>-7.3099999999999998E-2</v>
      </c>
      <c r="I146" s="86">
        <v>0.30790000000000001</v>
      </c>
      <c r="J146" s="86">
        <v>0.51090000000000002</v>
      </c>
      <c r="K146" s="86" t="s">
        <v>157</v>
      </c>
      <c r="L146" s="83">
        <v>2.6</v>
      </c>
      <c r="M146" s="81">
        <v>6.0000000000000001E-3</v>
      </c>
      <c r="N146" s="1" t="s">
        <v>215</v>
      </c>
      <c r="O146" s="82">
        <v>43119</v>
      </c>
      <c r="P146" s="1" t="s">
        <v>319</v>
      </c>
      <c r="Q146" s="1" t="s">
        <v>167</v>
      </c>
    </row>
    <row r="147" spans="1:17" x14ac:dyDescent="0.2">
      <c r="A147" s="1" t="s">
        <v>473</v>
      </c>
      <c r="B147" s="1">
        <v>512600</v>
      </c>
      <c r="C147" s="1">
        <v>4.8330000000000002</v>
      </c>
      <c r="D147" s="81">
        <v>-3.7000000000000002E-3</v>
      </c>
      <c r="E147" s="81">
        <v>-2.0000000000000001E-4</v>
      </c>
      <c r="F147" s="85">
        <v>541.03</v>
      </c>
      <c r="G147" s="86">
        <v>-0.2039</v>
      </c>
      <c r="H147" s="86">
        <v>-7.3099999999999998E-2</v>
      </c>
      <c r="I147" s="86">
        <v>0.57889999999999997</v>
      </c>
      <c r="J147" s="86">
        <v>1.1105</v>
      </c>
      <c r="K147" s="86">
        <v>2.8976000000000002</v>
      </c>
      <c r="L147" s="83">
        <v>1.98</v>
      </c>
      <c r="M147" s="81">
        <v>6.0000000000000001E-3</v>
      </c>
      <c r="N147" s="1" t="s">
        <v>198</v>
      </c>
      <c r="O147" s="82">
        <v>41845</v>
      </c>
      <c r="P147" s="1" t="s">
        <v>435</v>
      </c>
      <c r="Q147" s="1" t="s">
        <v>174</v>
      </c>
    </row>
    <row r="148" spans="1:17" x14ac:dyDescent="0.2">
      <c r="A148" s="1" t="s">
        <v>474</v>
      </c>
      <c r="B148" s="1">
        <v>159990</v>
      </c>
      <c r="C148" s="1">
        <v>1.1759999999999999</v>
      </c>
      <c r="D148" s="81">
        <v>1.12E-2</v>
      </c>
      <c r="E148" s="81">
        <v>8.9999999999999998E-4</v>
      </c>
      <c r="F148" s="85">
        <v>589.48</v>
      </c>
      <c r="G148" s="86">
        <v>6.4299999999999996E-2</v>
      </c>
      <c r="H148" s="86">
        <v>4.7199999999999999E-2</v>
      </c>
      <c r="I148" s="86">
        <v>0.18429999999999999</v>
      </c>
      <c r="J148" s="86" t="s">
        <v>157</v>
      </c>
      <c r="K148" s="86" t="s">
        <v>157</v>
      </c>
      <c r="L148" s="83">
        <v>0.48699999999999999</v>
      </c>
      <c r="M148" s="81">
        <v>6.0000000000000001E-3</v>
      </c>
      <c r="N148" s="1" t="s">
        <v>475</v>
      </c>
      <c r="O148" s="82">
        <v>43850</v>
      </c>
      <c r="P148" s="1" t="s">
        <v>249</v>
      </c>
      <c r="Q148" s="1" t="s">
        <v>436</v>
      </c>
    </row>
    <row r="149" spans="1:17" x14ac:dyDescent="0.2">
      <c r="A149" s="1" t="s">
        <v>107</v>
      </c>
      <c r="B149" s="1">
        <v>159855</v>
      </c>
      <c r="C149" s="1">
        <v>0.93200000000000005</v>
      </c>
      <c r="D149" s="81">
        <v>-3.2000000000000002E-3</v>
      </c>
      <c r="E149" s="81">
        <v>-1.1000000000000001E-3</v>
      </c>
      <c r="F149" s="85">
        <v>930.06</v>
      </c>
      <c r="G149" s="86" t="s">
        <v>157</v>
      </c>
      <c r="H149" s="86" t="s">
        <v>157</v>
      </c>
      <c r="I149" s="86" t="s">
        <v>157</v>
      </c>
      <c r="J149" s="86" t="s">
        <v>157</v>
      </c>
      <c r="K149" s="86" t="s">
        <v>157</v>
      </c>
      <c r="L149" s="83">
        <v>3.33</v>
      </c>
      <c r="M149" s="81">
        <v>6.0000000000000001E-3</v>
      </c>
      <c r="N149" s="1" t="s">
        <v>476</v>
      </c>
      <c r="O149" s="82">
        <v>44253</v>
      </c>
      <c r="P149" s="1" t="s">
        <v>249</v>
      </c>
      <c r="Q149" s="1" t="s">
        <v>477</v>
      </c>
    </row>
    <row r="150" spans="1:17" x14ac:dyDescent="0.2">
      <c r="A150" s="1" t="s">
        <v>478</v>
      </c>
      <c r="B150" s="1">
        <v>515560</v>
      </c>
      <c r="C150" s="1">
        <v>0.93899999999999995</v>
      </c>
      <c r="D150" s="81">
        <v>2.0999999999999999E-3</v>
      </c>
      <c r="E150" s="81">
        <v>-1.1000000000000001E-3</v>
      </c>
      <c r="F150" s="85">
        <v>3458.23</v>
      </c>
      <c r="G150" s="86">
        <v>-6.7500000000000004E-2</v>
      </c>
      <c r="H150" s="86">
        <v>-0.12889999999999999</v>
      </c>
      <c r="I150" s="86" t="s">
        <v>157</v>
      </c>
      <c r="J150" s="86" t="s">
        <v>157</v>
      </c>
      <c r="K150" s="86" t="s">
        <v>157</v>
      </c>
      <c r="L150" s="83">
        <v>11.3</v>
      </c>
      <c r="M150" s="81">
        <v>2.5000000000000001E-3</v>
      </c>
      <c r="N150" s="1" t="s">
        <v>196</v>
      </c>
      <c r="O150" s="82">
        <v>44032</v>
      </c>
      <c r="P150" s="1" t="s">
        <v>327</v>
      </c>
      <c r="Q150" s="1" t="s">
        <v>169</v>
      </c>
    </row>
    <row r="151" spans="1:17" x14ac:dyDescent="0.2">
      <c r="A151" s="1" t="s">
        <v>479</v>
      </c>
      <c r="B151" s="1">
        <v>159952</v>
      </c>
      <c r="C151" s="1">
        <v>1.601</v>
      </c>
      <c r="D151" s="81">
        <v>3.0999999999999999E-3</v>
      </c>
      <c r="E151" s="81">
        <v>-5.9999999999999995E-4</v>
      </c>
      <c r="F151" s="85">
        <v>21188.51</v>
      </c>
      <c r="G151" s="86">
        <v>-0.1918</v>
      </c>
      <c r="H151" s="86">
        <v>-7.2400000000000006E-2</v>
      </c>
      <c r="I151" s="86">
        <v>0.32100000000000001</v>
      </c>
      <c r="J151" s="86">
        <v>0.52480000000000004</v>
      </c>
      <c r="K151" s="86" t="s">
        <v>157</v>
      </c>
      <c r="L151" s="83">
        <v>20.86</v>
      </c>
      <c r="M151" s="81">
        <v>2E-3</v>
      </c>
      <c r="N151" s="1" t="s">
        <v>215</v>
      </c>
      <c r="O151" s="82">
        <v>42874</v>
      </c>
      <c r="P151" s="1" t="s">
        <v>276</v>
      </c>
      <c r="Q151" s="1" t="s">
        <v>167</v>
      </c>
    </row>
    <row r="152" spans="1:17" x14ac:dyDescent="0.2">
      <c r="A152" s="1" t="s">
        <v>480</v>
      </c>
      <c r="B152" s="1">
        <v>516760</v>
      </c>
      <c r="C152" s="1">
        <v>0.98399999999999999</v>
      </c>
      <c r="D152" s="81">
        <v>2E-3</v>
      </c>
      <c r="E152" s="81">
        <v>0</v>
      </c>
      <c r="F152" s="85">
        <v>2551.9699999999998</v>
      </c>
      <c r="G152" s="86" t="s">
        <v>157</v>
      </c>
      <c r="H152" s="86" t="s">
        <v>157</v>
      </c>
      <c r="I152" s="86" t="s">
        <v>157</v>
      </c>
      <c r="J152" s="86" t="s">
        <v>157</v>
      </c>
      <c r="K152" s="86" t="s">
        <v>157</v>
      </c>
      <c r="L152" s="83">
        <v>2.25</v>
      </c>
      <c r="M152" s="81">
        <v>6.0000000000000001E-3</v>
      </c>
      <c r="N152" s="1" t="s">
        <v>481</v>
      </c>
      <c r="O152" s="82">
        <v>44267</v>
      </c>
      <c r="P152" s="1" t="s">
        <v>274</v>
      </c>
      <c r="Q152" s="1" t="s">
        <v>482</v>
      </c>
    </row>
    <row r="153" spans="1:17" x14ac:dyDescent="0.2">
      <c r="A153" s="1" t="s">
        <v>483</v>
      </c>
      <c r="B153" s="1">
        <v>159959</v>
      </c>
      <c r="C153" s="1">
        <v>1.226</v>
      </c>
      <c r="D153" s="81">
        <v>1.41E-2</v>
      </c>
      <c r="E153" s="81">
        <v>0</v>
      </c>
      <c r="F153" s="85">
        <v>69.61</v>
      </c>
      <c r="G153" s="86">
        <v>-3.9199999999999999E-2</v>
      </c>
      <c r="H153" s="86">
        <v>1.24E-2</v>
      </c>
      <c r="I153" s="86">
        <v>0.17660000000000001</v>
      </c>
      <c r="J153" s="86" t="s">
        <v>157</v>
      </c>
      <c r="K153" s="86" t="s">
        <v>157</v>
      </c>
      <c r="L153" s="83">
        <v>23.45</v>
      </c>
      <c r="M153" s="81">
        <v>2E-3</v>
      </c>
      <c r="N153" s="1" t="s">
        <v>484</v>
      </c>
      <c r="O153" s="82">
        <v>43483</v>
      </c>
      <c r="P153" s="1" t="s">
        <v>249</v>
      </c>
      <c r="Q153" s="1" t="s">
        <v>485</v>
      </c>
    </row>
    <row r="154" spans="1:17" x14ac:dyDescent="0.2">
      <c r="A154" s="1" t="s">
        <v>486</v>
      </c>
      <c r="B154" s="1">
        <v>159960</v>
      </c>
      <c r="C154" s="1">
        <v>1.0740000000000001</v>
      </c>
      <c r="D154" s="81">
        <v>3.7000000000000002E-3</v>
      </c>
      <c r="E154" s="81">
        <v>-1.9E-3</v>
      </c>
      <c r="F154" s="85">
        <v>552.95000000000005</v>
      </c>
      <c r="G154" s="86">
        <v>-2.3599999999999999E-2</v>
      </c>
      <c r="H154" s="86">
        <v>7.0800000000000002E-2</v>
      </c>
      <c r="I154" s="86">
        <v>0.10150000000000001</v>
      </c>
      <c r="J154" s="86" t="s">
        <v>157</v>
      </c>
      <c r="K154" s="86" t="s">
        <v>157</v>
      </c>
      <c r="L154" s="83">
        <v>5.4</v>
      </c>
      <c r="M154" s="81">
        <v>6.0000000000000001E-3</v>
      </c>
      <c r="N154" s="1" t="s">
        <v>304</v>
      </c>
      <c r="O154" s="82">
        <v>43395</v>
      </c>
      <c r="P154" s="1" t="s">
        <v>274</v>
      </c>
      <c r="Q154" s="1" t="s">
        <v>305</v>
      </c>
    </row>
    <row r="155" spans="1:17" x14ac:dyDescent="0.2">
      <c r="A155" s="1" t="s">
        <v>487</v>
      </c>
      <c r="B155" s="1">
        <v>512720</v>
      </c>
      <c r="C155" s="1">
        <v>1.3029999999999999</v>
      </c>
      <c r="D155" s="81">
        <v>-1.14E-2</v>
      </c>
      <c r="E155" s="81">
        <v>0</v>
      </c>
      <c r="F155" s="85">
        <v>3798.71</v>
      </c>
      <c r="G155" s="86">
        <v>-9.64E-2</v>
      </c>
      <c r="H155" s="86">
        <v>-8.5000000000000006E-2</v>
      </c>
      <c r="I155" s="86">
        <v>-4.0500000000000001E-2</v>
      </c>
      <c r="J155" s="86" t="s">
        <v>157</v>
      </c>
      <c r="K155" s="86" t="s">
        <v>157</v>
      </c>
      <c r="L155" s="83">
        <v>13.41</v>
      </c>
      <c r="M155" s="81">
        <v>6.0000000000000001E-3</v>
      </c>
      <c r="N155" s="1" t="s">
        <v>488</v>
      </c>
      <c r="O155" s="82">
        <v>43693</v>
      </c>
      <c r="P155" s="1" t="s">
        <v>158</v>
      </c>
      <c r="Q155" s="1" t="s">
        <v>489</v>
      </c>
    </row>
    <row r="156" spans="1:17" x14ac:dyDescent="0.2">
      <c r="A156" s="1" t="s">
        <v>490</v>
      </c>
      <c r="B156" s="1">
        <v>512890</v>
      </c>
      <c r="C156" s="1">
        <v>1.42</v>
      </c>
      <c r="D156" s="81">
        <v>2.23E-2</v>
      </c>
      <c r="E156" s="81">
        <v>-2.0999999999999999E-3</v>
      </c>
      <c r="F156" s="85">
        <v>96.49</v>
      </c>
      <c r="G156" s="86">
        <v>7.9000000000000001E-2</v>
      </c>
      <c r="H156" s="86">
        <v>6.93E-2</v>
      </c>
      <c r="I156" s="86">
        <v>0.2402</v>
      </c>
      <c r="J156" s="86" t="s">
        <v>157</v>
      </c>
      <c r="K156" s="86" t="s">
        <v>157</v>
      </c>
      <c r="L156" s="83">
        <v>0.77900000000000003</v>
      </c>
      <c r="M156" s="81">
        <v>6.0000000000000001E-3</v>
      </c>
      <c r="N156" s="1" t="s">
        <v>491</v>
      </c>
      <c r="O156" s="82">
        <v>43483</v>
      </c>
      <c r="P156" s="1" t="s">
        <v>154</v>
      </c>
      <c r="Q156" s="1" t="s">
        <v>240</v>
      </c>
    </row>
    <row r="157" spans="1:17" x14ac:dyDescent="0.2">
      <c r="A157" s="1" t="s">
        <v>492</v>
      </c>
      <c r="B157" s="1">
        <v>510370</v>
      </c>
      <c r="C157" s="1">
        <v>1.0740000000000001</v>
      </c>
      <c r="D157" s="81">
        <v>4.7000000000000002E-3</v>
      </c>
      <c r="E157" s="81">
        <v>-6.4999999999999997E-3</v>
      </c>
      <c r="F157" s="85">
        <v>56.96</v>
      </c>
      <c r="G157" s="86">
        <v>-0.1153</v>
      </c>
      <c r="H157" s="86">
        <v>-1.7399999999999999E-2</v>
      </c>
      <c r="I157" s="86" t="s">
        <v>157</v>
      </c>
      <c r="J157" s="86" t="s">
        <v>157</v>
      </c>
      <c r="K157" s="86" t="s">
        <v>157</v>
      </c>
      <c r="L157" s="83">
        <v>1.25</v>
      </c>
      <c r="M157" s="81">
        <v>6.0000000000000001E-3</v>
      </c>
      <c r="N157" s="1" t="s">
        <v>190</v>
      </c>
      <c r="O157" s="82">
        <v>44131</v>
      </c>
      <c r="P157" s="1" t="s">
        <v>493</v>
      </c>
      <c r="Q157" s="1" t="s">
        <v>155</v>
      </c>
    </row>
    <row r="158" spans="1:17" x14ac:dyDescent="0.2">
      <c r="A158" s="1" t="s">
        <v>494</v>
      </c>
      <c r="B158" s="1">
        <v>511030</v>
      </c>
      <c r="C158" s="1">
        <v>10.315</v>
      </c>
      <c r="D158" s="81">
        <v>1.4E-3</v>
      </c>
      <c r="E158" s="81">
        <v>0</v>
      </c>
      <c r="F158" s="85">
        <v>7.46</v>
      </c>
      <c r="G158" s="86">
        <v>4.7000000000000002E-3</v>
      </c>
      <c r="H158" s="86">
        <v>5.4000000000000003E-3</v>
      </c>
      <c r="I158" s="86">
        <v>3.0099999999999998E-2</v>
      </c>
      <c r="J158" s="86" t="s">
        <v>157</v>
      </c>
      <c r="K158" s="86" t="s">
        <v>157</v>
      </c>
      <c r="L158" s="83">
        <v>51.77</v>
      </c>
      <c r="M158" s="81">
        <v>3.3E-3</v>
      </c>
      <c r="N158" s="1" t="s">
        <v>495</v>
      </c>
      <c r="O158" s="82">
        <v>43546</v>
      </c>
      <c r="P158" s="1" t="s">
        <v>274</v>
      </c>
      <c r="Q158" s="1" t="s">
        <v>496</v>
      </c>
    </row>
    <row r="159" spans="1:17" x14ac:dyDescent="0.2">
      <c r="A159" s="1" t="s">
        <v>497</v>
      </c>
      <c r="B159" s="1">
        <v>510160</v>
      </c>
      <c r="C159" s="1">
        <v>0.71799999999999997</v>
      </c>
      <c r="D159" s="81">
        <v>8.3999999999999995E-3</v>
      </c>
      <c r="E159" s="81">
        <v>-8.3000000000000001E-3</v>
      </c>
      <c r="F159" s="85">
        <v>29.44</v>
      </c>
      <c r="G159" s="86">
        <v>-2.8E-3</v>
      </c>
      <c r="H159" s="86">
        <v>4.2099999999999999E-2</v>
      </c>
      <c r="I159" s="86">
        <v>0.2641</v>
      </c>
      <c r="J159" s="86">
        <v>0.17510000000000001</v>
      </c>
      <c r="K159" s="86">
        <v>0.64300000000000002</v>
      </c>
      <c r="L159" s="83">
        <v>4.0599999999999996</v>
      </c>
      <c r="M159" s="81">
        <v>6.0000000000000001E-3</v>
      </c>
      <c r="N159" s="1" t="s">
        <v>498</v>
      </c>
      <c r="O159" s="82">
        <v>40483</v>
      </c>
      <c r="P159" s="1" t="s">
        <v>163</v>
      </c>
      <c r="Q159" s="1" t="s">
        <v>499</v>
      </c>
    </row>
    <row r="160" spans="1:17" x14ac:dyDescent="0.2">
      <c r="A160" s="1" t="s">
        <v>500</v>
      </c>
      <c r="B160" s="1">
        <v>515310</v>
      </c>
      <c r="C160" s="1">
        <v>1.33</v>
      </c>
      <c r="D160" s="81">
        <v>8.0000000000000004E-4</v>
      </c>
      <c r="E160" s="81">
        <v>-1.5E-3</v>
      </c>
      <c r="F160" s="85">
        <v>298.47000000000003</v>
      </c>
      <c r="G160" s="86">
        <v>-0.11509999999999999</v>
      </c>
      <c r="H160" s="86">
        <v>-7.4999999999999997E-3</v>
      </c>
      <c r="I160" s="86">
        <v>0.3221</v>
      </c>
      <c r="J160" s="86" t="s">
        <v>157</v>
      </c>
      <c r="K160" s="86" t="s">
        <v>157</v>
      </c>
      <c r="L160" s="83">
        <v>1.74</v>
      </c>
      <c r="M160" s="81">
        <v>2E-3</v>
      </c>
      <c r="N160" s="1" t="s">
        <v>190</v>
      </c>
      <c r="O160" s="82">
        <v>43824</v>
      </c>
      <c r="P160" s="1" t="s">
        <v>173</v>
      </c>
      <c r="Q160" s="1" t="s">
        <v>155</v>
      </c>
    </row>
    <row r="161" spans="1:17" x14ac:dyDescent="0.2">
      <c r="A161" s="1" t="s">
        <v>110</v>
      </c>
      <c r="B161" s="1">
        <v>159805</v>
      </c>
      <c r="C161" s="1">
        <v>1.036</v>
      </c>
      <c r="D161" s="81">
        <v>-1.15E-2</v>
      </c>
      <c r="E161" s="81">
        <v>-1E-3</v>
      </c>
      <c r="F161" s="85">
        <v>776</v>
      </c>
      <c r="G161" s="86">
        <v>-3.6299999999999999E-2</v>
      </c>
      <c r="H161" s="86">
        <v>-4.07E-2</v>
      </c>
      <c r="I161" s="86" t="s">
        <v>157</v>
      </c>
      <c r="J161" s="86" t="s">
        <v>157</v>
      </c>
      <c r="K161" s="86" t="s">
        <v>157</v>
      </c>
      <c r="L161" s="83">
        <v>2.94</v>
      </c>
      <c r="M161" s="81">
        <v>6.0000000000000001E-3</v>
      </c>
      <c r="N161" s="1" t="s">
        <v>275</v>
      </c>
      <c r="O161" s="82">
        <v>43938</v>
      </c>
      <c r="P161" s="1" t="s">
        <v>160</v>
      </c>
      <c r="Q161" s="1" t="s">
        <v>277</v>
      </c>
    </row>
    <row r="162" spans="1:17" x14ac:dyDescent="0.2">
      <c r="A162" s="1" t="s">
        <v>501</v>
      </c>
      <c r="B162" s="1">
        <v>510210</v>
      </c>
      <c r="C162" s="1">
        <v>0.96299999999999997</v>
      </c>
      <c r="D162" s="81">
        <v>5.1999999999999998E-3</v>
      </c>
      <c r="E162" s="81">
        <v>-2.0999999999999999E-3</v>
      </c>
      <c r="F162" s="85">
        <v>4270.01</v>
      </c>
      <c r="G162" s="86">
        <v>-5.3100000000000001E-2</v>
      </c>
      <c r="H162" s="86">
        <v>-3.3E-3</v>
      </c>
      <c r="I162" s="86">
        <v>0.2311</v>
      </c>
      <c r="J162" s="86">
        <v>0.28160000000000002</v>
      </c>
      <c r="K162" s="86">
        <v>0.60389999999999999</v>
      </c>
      <c r="L162" s="83">
        <v>4.71</v>
      </c>
      <c r="M162" s="81">
        <v>6.0000000000000001E-3</v>
      </c>
      <c r="N162" s="1" t="s">
        <v>502</v>
      </c>
      <c r="O162" s="82">
        <v>40627</v>
      </c>
      <c r="P162" s="1" t="s">
        <v>232</v>
      </c>
      <c r="Q162" s="1" t="s">
        <v>503</v>
      </c>
    </row>
    <row r="163" spans="1:17" x14ac:dyDescent="0.2">
      <c r="A163" s="1" t="s">
        <v>68</v>
      </c>
      <c r="B163" s="1">
        <v>159856</v>
      </c>
      <c r="C163" s="1">
        <v>0.86199999999999999</v>
      </c>
      <c r="D163" s="81">
        <v>0</v>
      </c>
      <c r="E163" s="81">
        <v>-4.5999999999999999E-3</v>
      </c>
      <c r="F163" s="85">
        <v>1218.79</v>
      </c>
      <c r="G163" s="86">
        <v>-0.1457</v>
      </c>
      <c r="H163" s="86" t="s">
        <v>157</v>
      </c>
      <c r="I163" s="86" t="s">
        <v>157</v>
      </c>
      <c r="J163" s="86" t="s">
        <v>157</v>
      </c>
      <c r="K163" s="86" t="s">
        <v>157</v>
      </c>
      <c r="L163" s="83">
        <v>7.41</v>
      </c>
      <c r="M163" s="81">
        <v>5.1999999999999998E-3</v>
      </c>
      <c r="N163" s="1" t="s">
        <v>415</v>
      </c>
      <c r="O163" s="82">
        <v>44228</v>
      </c>
      <c r="P163" s="1" t="s">
        <v>319</v>
      </c>
      <c r="Q163" s="1" t="s">
        <v>416</v>
      </c>
    </row>
    <row r="164" spans="1:17" x14ac:dyDescent="0.2">
      <c r="A164" s="1" t="s">
        <v>148</v>
      </c>
      <c r="B164" s="1">
        <v>159938</v>
      </c>
      <c r="C164" s="1">
        <v>1.972</v>
      </c>
      <c r="D164" s="81">
        <v>2.5000000000000001E-3</v>
      </c>
      <c r="E164" s="81">
        <v>-1E-3</v>
      </c>
      <c r="F164" s="85">
        <v>4140.0600000000004</v>
      </c>
      <c r="G164" s="86">
        <v>-0.158</v>
      </c>
      <c r="H164" s="86">
        <v>-6.3600000000000004E-2</v>
      </c>
      <c r="I164" s="86">
        <v>0.28220000000000001</v>
      </c>
      <c r="J164" s="86">
        <v>0.40360000000000001</v>
      </c>
      <c r="K164" s="86">
        <v>0.7944</v>
      </c>
      <c r="L164" s="83">
        <v>17.829999999999998</v>
      </c>
      <c r="M164" s="81">
        <v>6.0000000000000001E-3</v>
      </c>
      <c r="N164" s="1" t="s">
        <v>504</v>
      </c>
      <c r="O164" s="82">
        <v>42012</v>
      </c>
      <c r="P164" s="1" t="s">
        <v>276</v>
      </c>
      <c r="Q164" s="1" t="s">
        <v>201</v>
      </c>
    </row>
    <row r="165" spans="1:17" x14ac:dyDescent="0.2">
      <c r="A165" s="1" t="s">
        <v>31</v>
      </c>
      <c r="B165" s="1">
        <v>159929</v>
      </c>
      <c r="C165" s="1">
        <v>2.238</v>
      </c>
      <c r="D165" s="81">
        <v>4.0000000000000001E-3</v>
      </c>
      <c r="E165" s="81">
        <v>2.2000000000000001E-3</v>
      </c>
      <c r="F165" s="85">
        <v>2005.06</v>
      </c>
      <c r="G165" s="86">
        <v>-0.18559999999999999</v>
      </c>
      <c r="H165" s="86">
        <v>-5.6099999999999997E-2</v>
      </c>
      <c r="I165" s="86">
        <v>0.318</v>
      </c>
      <c r="J165" s="86">
        <v>0.36959999999999998</v>
      </c>
      <c r="K165" s="86">
        <v>0.85260000000000002</v>
      </c>
      <c r="L165" s="83">
        <v>5.83</v>
      </c>
      <c r="M165" s="81">
        <v>6.0000000000000001E-3</v>
      </c>
      <c r="N165" s="1" t="s">
        <v>505</v>
      </c>
      <c r="O165" s="82">
        <v>41533</v>
      </c>
      <c r="P165" s="1" t="s">
        <v>173</v>
      </c>
      <c r="Q165" s="1" t="s">
        <v>201</v>
      </c>
    </row>
    <row r="166" spans="1:17" x14ac:dyDescent="0.2">
      <c r="A166" s="1" t="s">
        <v>506</v>
      </c>
      <c r="B166" s="1">
        <v>159824</v>
      </c>
      <c r="C166" s="1">
        <v>0.93500000000000005</v>
      </c>
      <c r="D166" s="81">
        <v>8.6E-3</v>
      </c>
      <c r="E166" s="81">
        <v>-1.1000000000000001E-3</v>
      </c>
      <c r="F166" s="85">
        <v>3821.12</v>
      </c>
      <c r="G166" s="86">
        <v>-0.14610000000000001</v>
      </c>
      <c r="H166" s="86" t="s">
        <v>157</v>
      </c>
      <c r="I166" s="86" t="s">
        <v>157</v>
      </c>
      <c r="J166" s="86" t="s">
        <v>157</v>
      </c>
      <c r="K166" s="86" t="s">
        <v>157</v>
      </c>
      <c r="L166" s="83">
        <v>6.87</v>
      </c>
      <c r="M166" s="81">
        <v>6.0000000000000001E-3</v>
      </c>
      <c r="N166" s="1" t="s">
        <v>211</v>
      </c>
      <c r="O166" s="82">
        <v>44207</v>
      </c>
      <c r="P166" s="1" t="s">
        <v>266</v>
      </c>
      <c r="Q166" s="1" t="s">
        <v>212</v>
      </c>
    </row>
    <row r="167" spans="1:17" x14ac:dyDescent="0.2">
      <c r="A167" s="1" t="s">
        <v>507</v>
      </c>
      <c r="B167" s="1">
        <v>515950</v>
      </c>
      <c r="C167" s="1">
        <v>1.609</v>
      </c>
      <c r="D167" s="81">
        <v>8.8000000000000005E-3</v>
      </c>
      <c r="E167" s="81">
        <v>0</v>
      </c>
      <c r="F167" s="85">
        <v>797.1</v>
      </c>
      <c r="G167" s="86">
        <v>-0.19020000000000001</v>
      </c>
      <c r="H167" s="86">
        <v>-4.8500000000000001E-2</v>
      </c>
      <c r="I167" s="86" t="s">
        <v>157</v>
      </c>
      <c r="J167" s="86" t="s">
        <v>157</v>
      </c>
      <c r="K167" s="86" t="s">
        <v>157</v>
      </c>
      <c r="L167" s="83">
        <v>1.41</v>
      </c>
      <c r="M167" s="81">
        <v>6.0000000000000001E-3</v>
      </c>
      <c r="N167" s="1" t="s">
        <v>508</v>
      </c>
      <c r="O167" s="82">
        <v>43922</v>
      </c>
      <c r="P167" s="1" t="s">
        <v>232</v>
      </c>
      <c r="Q167" s="1" t="s">
        <v>201</v>
      </c>
    </row>
    <row r="168" spans="1:17" x14ac:dyDescent="0.2">
      <c r="A168" s="1" t="s">
        <v>509</v>
      </c>
      <c r="B168" s="1">
        <v>159945</v>
      </c>
      <c r="C168" s="1">
        <v>0.65100000000000002</v>
      </c>
      <c r="D168" s="81">
        <v>7.7000000000000002E-3</v>
      </c>
      <c r="E168" s="81">
        <v>-3.0999999999999999E-3</v>
      </c>
      <c r="F168" s="85">
        <v>184.14</v>
      </c>
      <c r="G168" s="86">
        <v>7.0699999999999999E-2</v>
      </c>
      <c r="H168" s="86">
        <v>7.2499999999999995E-2</v>
      </c>
      <c r="I168" s="86">
        <v>0.1166</v>
      </c>
      <c r="J168" s="86">
        <v>-0.1389</v>
      </c>
      <c r="K168" s="86">
        <v>3.9899999999999998E-2</v>
      </c>
      <c r="L168" s="83">
        <v>0.45100000000000001</v>
      </c>
      <c r="M168" s="81">
        <v>6.0000000000000001E-3</v>
      </c>
      <c r="N168" s="1" t="s">
        <v>510</v>
      </c>
      <c r="O168" s="82">
        <v>42191</v>
      </c>
      <c r="P168" s="1" t="s">
        <v>276</v>
      </c>
      <c r="Q168" s="1" t="s">
        <v>308</v>
      </c>
    </row>
    <row r="169" spans="1:17" x14ac:dyDescent="0.2">
      <c r="A169" s="1" t="s">
        <v>511</v>
      </c>
      <c r="B169" s="1">
        <v>515850</v>
      </c>
      <c r="C169" s="1">
        <v>1.204</v>
      </c>
      <c r="D169" s="81">
        <v>8.0000000000000004E-4</v>
      </c>
      <c r="E169" s="81">
        <v>-8.0000000000000004E-4</v>
      </c>
      <c r="F169" s="85">
        <v>383.21</v>
      </c>
      <c r="G169" s="86">
        <v>-6.59E-2</v>
      </c>
      <c r="H169" s="86">
        <v>-0.1231</v>
      </c>
      <c r="I169" s="86">
        <v>0.1066</v>
      </c>
      <c r="J169" s="86" t="s">
        <v>157</v>
      </c>
      <c r="K169" s="86" t="s">
        <v>157</v>
      </c>
      <c r="L169" s="83">
        <v>1.23</v>
      </c>
      <c r="M169" s="81">
        <v>6.0000000000000001E-3</v>
      </c>
      <c r="N169" s="1" t="s">
        <v>196</v>
      </c>
      <c r="O169" s="82">
        <v>43882</v>
      </c>
      <c r="P169" s="1" t="s">
        <v>232</v>
      </c>
      <c r="Q169" s="1" t="s">
        <v>169</v>
      </c>
    </row>
    <row r="170" spans="1:17" x14ac:dyDescent="0.2">
      <c r="A170" s="1" t="s">
        <v>512</v>
      </c>
      <c r="B170" s="1">
        <v>516000</v>
      </c>
      <c r="C170" s="1">
        <v>0.91400000000000003</v>
      </c>
      <c r="D170" s="81">
        <v>-8.6999999999999994E-3</v>
      </c>
      <c r="E170" s="81">
        <v>-1.1000000000000001E-3</v>
      </c>
      <c r="F170" s="85">
        <v>308.48</v>
      </c>
      <c r="G170" s="86" t="s">
        <v>157</v>
      </c>
      <c r="H170" s="86" t="s">
        <v>157</v>
      </c>
      <c r="I170" s="86" t="s">
        <v>157</v>
      </c>
      <c r="J170" s="86" t="s">
        <v>157</v>
      </c>
      <c r="K170" s="86" t="s">
        <v>157</v>
      </c>
      <c r="L170" s="83">
        <v>3.03</v>
      </c>
      <c r="M170" s="81">
        <v>6.0000000000000001E-3</v>
      </c>
      <c r="N170" s="1" t="s">
        <v>513</v>
      </c>
      <c r="O170" s="82">
        <v>44256</v>
      </c>
      <c r="P170" s="1" t="s">
        <v>171</v>
      </c>
      <c r="Q170" s="1" t="s">
        <v>351</v>
      </c>
    </row>
    <row r="171" spans="1:17" x14ac:dyDescent="0.2">
      <c r="A171" s="1" t="s">
        <v>514</v>
      </c>
      <c r="B171" s="1">
        <v>515330</v>
      </c>
      <c r="C171" s="1">
        <v>1.3280000000000001</v>
      </c>
      <c r="D171" s="81">
        <v>6.1000000000000004E-3</v>
      </c>
      <c r="E171" s="81">
        <v>8.0000000000000004E-4</v>
      </c>
      <c r="F171" s="85">
        <v>1264.21</v>
      </c>
      <c r="G171" s="86">
        <v>-0.11169999999999999</v>
      </c>
      <c r="H171" s="86">
        <v>-9.7000000000000003E-3</v>
      </c>
      <c r="I171" s="86">
        <v>0.30840000000000001</v>
      </c>
      <c r="J171" s="86" t="s">
        <v>157</v>
      </c>
      <c r="K171" s="86" t="s">
        <v>157</v>
      </c>
      <c r="L171" s="83">
        <v>59.4</v>
      </c>
      <c r="M171" s="81">
        <v>6.0000000000000001E-3</v>
      </c>
      <c r="N171" s="1" t="s">
        <v>190</v>
      </c>
      <c r="O171" s="82">
        <v>43825</v>
      </c>
      <c r="P171" s="1" t="s">
        <v>446</v>
      </c>
      <c r="Q171" s="1" t="s">
        <v>155</v>
      </c>
    </row>
    <row r="172" spans="1:17" x14ac:dyDescent="0.2">
      <c r="A172" s="1" t="s">
        <v>515</v>
      </c>
      <c r="B172" s="1">
        <v>512090</v>
      </c>
      <c r="C172" s="1">
        <v>1.677</v>
      </c>
      <c r="D172" s="81">
        <v>6.0000000000000001E-3</v>
      </c>
      <c r="E172" s="81">
        <v>0</v>
      </c>
      <c r="F172" s="85">
        <v>2050.23</v>
      </c>
      <c r="G172" s="86">
        <v>-0.1211</v>
      </c>
      <c r="H172" s="86">
        <v>-1.35E-2</v>
      </c>
      <c r="I172" s="86">
        <v>0.42359999999999998</v>
      </c>
      <c r="J172" s="86" t="s">
        <v>157</v>
      </c>
      <c r="K172" s="86" t="s">
        <v>157</v>
      </c>
      <c r="L172" s="83">
        <v>6.52</v>
      </c>
      <c r="M172" s="81">
        <v>2E-3</v>
      </c>
      <c r="N172" s="1" t="s">
        <v>427</v>
      </c>
      <c r="O172" s="82">
        <v>43252</v>
      </c>
      <c r="P172" s="1" t="s">
        <v>208</v>
      </c>
      <c r="Q172" s="1" t="s">
        <v>428</v>
      </c>
    </row>
    <row r="173" spans="1:17" x14ac:dyDescent="0.2">
      <c r="A173" s="1" t="s">
        <v>516</v>
      </c>
      <c r="B173" s="1">
        <v>159801</v>
      </c>
      <c r="C173" s="1">
        <v>1.1259999999999999</v>
      </c>
      <c r="D173" s="81">
        <v>-1.5699999999999999E-2</v>
      </c>
      <c r="E173" s="81">
        <v>8.9999999999999998E-4</v>
      </c>
      <c r="F173" s="85">
        <v>7953.06</v>
      </c>
      <c r="G173" s="86">
        <v>-0.10349999999999999</v>
      </c>
      <c r="H173" s="86">
        <v>-6.4000000000000001E-2</v>
      </c>
      <c r="I173" s="86">
        <v>0.1028</v>
      </c>
      <c r="J173" s="86" t="s">
        <v>157</v>
      </c>
      <c r="K173" s="86" t="s">
        <v>157</v>
      </c>
      <c r="L173" s="83">
        <v>26.7</v>
      </c>
      <c r="M173" s="81">
        <v>6.0000000000000001E-3</v>
      </c>
      <c r="N173" s="1" t="s">
        <v>202</v>
      </c>
      <c r="O173" s="82">
        <v>43879</v>
      </c>
      <c r="P173" s="1" t="s">
        <v>276</v>
      </c>
      <c r="Q173" s="1" t="s">
        <v>203</v>
      </c>
    </row>
    <row r="174" spans="1:17" x14ac:dyDescent="0.2">
      <c r="A174" s="1" t="s">
        <v>517</v>
      </c>
      <c r="B174" s="1">
        <v>510680</v>
      </c>
      <c r="C174" s="1">
        <v>3.2989999999999999</v>
      </c>
      <c r="D174" s="81">
        <v>-3.3E-3</v>
      </c>
      <c r="E174" s="81">
        <v>-5.9999999999999995E-4</v>
      </c>
      <c r="F174" s="85">
        <v>207.63</v>
      </c>
      <c r="G174" s="86">
        <v>-9.6699999999999994E-2</v>
      </c>
      <c r="H174" s="86">
        <v>2.7000000000000001E-3</v>
      </c>
      <c r="I174" s="86">
        <v>0.31850000000000001</v>
      </c>
      <c r="J174" s="86">
        <v>0.39019999999999999</v>
      </c>
      <c r="K174" s="86">
        <v>0.97070000000000001</v>
      </c>
      <c r="L174" s="83">
        <v>1.58</v>
      </c>
      <c r="M174" s="81">
        <v>6.0000000000000001E-3</v>
      </c>
      <c r="N174" s="1" t="s">
        <v>243</v>
      </c>
      <c r="O174" s="82">
        <v>41610</v>
      </c>
      <c r="P174" s="1" t="s">
        <v>518</v>
      </c>
      <c r="Q174" s="1" t="s">
        <v>155</v>
      </c>
    </row>
    <row r="175" spans="1:17" x14ac:dyDescent="0.2">
      <c r="A175" s="1" t="s">
        <v>519</v>
      </c>
      <c r="B175" s="1">
        <v>515280</v>
      </c>
      <c r="C175" s="1">
        <v>1.31</v>
      </c>
      <c r="D175" s="81">
        <v>0.01</v>
      </c>
      <c r="E175" s="81">
        <v>0</v>
      </c>
      <c r="F175" s="85">
        <v>290.79000000000002</v>
      </c>
      <c r="G175" s="86">
        <v>-1.06E-2</v>
      </c>
      <c r="H175" s="86">
        <v>0.11020000000000001</v>
      </c>
      <c r="I175" s="86" t="s">
        <v>157</v>
      </c>
      <c r="J175" s="86" t="s">
        <v>157</v>
      </c>
      <c r="K175" s="86" t="s">
        <v>157</v>
      </c>
      <c r="L175" s="83">
        <v>0.45300000000000001</v>
      </c>
      <c r="M175" s="81">
        <v>6.0000000000000001E-3</v>
      </c>
      <c r="N175" s="1" t="s">
        <v>213</v>
      </c>
      <c r="O175" s="82">
        <v>43938</v>
      </c>
      <c r="P175" s="1" t="s">
        <v>232</v>
      </c>
      <c r="Q175" s="1" t="s">
        <v>214</v>
      </c>
    </row>
    <row r="176" spans="1:17" x14ac:dyDescent="0.2">
      <c r="A176" s="1" t="s">
        <v>77</v>
      </c>
      <c r="B176" s="1">
        <v>159852</v>
      </c>
      <c r="C176" s="1">
        <v>0.94399999999999995</v>
      </c>
      <c r="D176" s="81">
        <v>-1.26E-2</v>
      </c>
      <c r="E176" s="81">
        <v>-2.0999999999999999E-3</v>
      </c>
      <c r="F176" s="85">
        <v>2819.42</v>
      </c>
      <c r="G176" s="86">
        <v>-6.8099999999999994E-2</v>
      </c>
      <c r="H176" s="86" t="s">
        <v>157</v>
      </c>
      <c r="I176" s="86" t="s">
        <v>157</v>
      </c>
      <c r="J176" s="86" t="s">
        <v>157</v>
      </c>
      <c r="K176" s="86" t="s">
        <v>157</v>
      </c>
      <c r="L176" s="83">
        <v>5.7</v>
      </c>
      <c r="M176" s="81">
        <v>6.0000000000000001E-3</v>
      </c>
      <c r="N176" s="1" t="s">
        <v>520</v>
      </c>
      <c r="O176" s="82">
        <v>44236</v>
      </c>
      <c r="P176" s="1" t="s">
        <v>435</v>
      </c>
      <c r="Q176" s="1" t="s">
        <v>521</v>
      </c>
    </row>
    <row r="177" spans="1:17" x14ac:dyDescent="0.2">
      <c r="A177" s="1" t="s">
        <v>522</v>
      </c>
      <c r="B177" s="1">
        <v>512930</v>
      </c>
      <c r="C177" s="1">
        <v>1.39</v>
      </c>
      <c r="D177" s="81">
        <v>-1.2800000000000001E-2</v>
      </c>
      <c r="E177" s="81">
        <v>0</v>
      </c>
      <c r="F177" s="85">
        <v>184.85</v>
      </c>
      <c r="G177" s="86">
        <v>-7.8899999999999998E-2</v>
      </c>
      <c r="H177" s="86">
        <v>-6.9000000000000006E-2</v>
      </c>
      <c r="I177" s="86">
        <v>-2.5899999999999999E-2</v>
      </c>
      <c r="J177" s="86" t="s">
        <v>157</v>
      </c>
      <c r="K177" s="86" t="s">
        <v>157</v>
      </c>
      <c r="L177" s="83">
        <v>3.56</v>
      </c>
      <c r="M177" s="81">
        <v>2E-3</v>
      </c>
      <c r="N177" s="1" t="s">
        <v>369</v>
      </c>
      <c r="O177" s="82">
        <v>43700</v>
      </c>
      <c r="P177" s="1" t="s">
        <v>274</v>
      </c>
      <c r="Q177" s="1" t="s">
        <v>345</v>
      </c>
    </row>
    <row r="178" spans="1:17" x14ac:dyDescent="0.2">
      <c r="A178" s="1" t="s">
        <v>523</v>
      </c>
      <c r="B178" s="1">
        <v>510800</v>
      </c>
      <c r="C178" s="1">
        <v>1.468</v>
      </c>
      <c r="D178" s="81">
        <v>6.9999999999999999E-4</v>
      </c>
      <c r="E178" s="81">
        <v>-1.4E-3</v>
      </c>
      <c r="F178" s="85">
        <v>2510.61</v>
      </c>
      <c r="G178" s="86">
        <v>-9.7699999999999995E-2</v>
      </c>
      <c r="H178" s="86">
        <v>6.9999999999999999E-4</v>
      </c>
      <c r="I178" s="86">
        <v>0.3468</v>
      </c>
      <c r="J178" s="86">
        <v>0.50560000000000005</v>
      </c>
      <c r="K178" s="86" t="s">
        <v>157</v>
      </c>
      <c r="L178" s="83">
        <v>4.33</v>
      </c>
      <c r="M178" s="81">
        <v>6.0000000000000001E-3</v>
      </c>
      <c r="N178" s="1" t="s">
        <v>243</v>
      </c>
      <c r="O178" s="82">
        <v>43115</v>
      </c>
      <c r="P178" s="1" t="s">
        <v>327</v>
      </c>
      <c r="Q178" s="1" t="s">
        <v>155</v>
      </c>
    </row>
    <row r="179" spans="1:17" x14ac:dyDescent="0.2">
      <c r="A179" s="1" t="s">
        <v>524</v>
      </c>
      <c r="B179" s="1">
        <v>513520</v>
      </c>
      <c r="C179" s="1">
        <v>1.302</v>
      </c>
      <c r="D179" s="81">
        <v>1.5599999999999999E-2</v>
      </c>
      <c r="E179" s="81">
        <v>-1.5E-3</v>
      </c>
      <c r="F179" s="85">
        <v>524.96</v>
      </c>
      <c r="G179" s="86">
        <v>-2.4E-2</v>
      </c>
      <c r="H179" s="86">
        <v>1.72E-2</v>
      </c>
      <c r="I179" s="86">
        <v>0.35060000000000002</v>
      </c>
      <c r="J179" s="86" t="s">
        <v>157</v>
      </c>
      <c r="K179" s="86" t="s">
        <v>157</v>
      </c>
      <c r="L179" s="83">
        <v>0.88400000000000001</v>
      </c>
      <c r="M179" s="81">
        <v>2.5000000000000001E-3</v>
      </c>
      <c r="N179" s="1" t="s">
        <v>525</v>
      </c>
      <c r="O179" s="82">
        <v>43641</v>
      </c>
      <c r="P179" s="1" t="s">
        <v>171</v>
      </c>
      <c r="Q179" s="1" t="s">
        <v>526</v>
      </c>
    </row>
    <row r="180" spans="1:17" x14ac:dyDescent="0.2">
      <c r="A180" s="1" t="s">
        <v>527</v>
      </c>
      <c r="B180" s="1">
        <v>510510</v>
      </c>
      <c r="C180" s="1">
        <v>1.8260000000000001</v>
      </c>
      <c r="D180" s="81">
        <v>0</v>
      </c>
      <c r="E180" s="81">
        <v>0</v>
      </c>
      <c r="F180" s="85">
        <v>4323.97</v>
      </c>
      <c r="G180" s="86">
        <v>-4.3499999999999997E-2</v>
      </c>
      <c r="H180" s="86">
        <v>-1.78E-2</v>
      </c>
      <c r="I180" s="86">
        <v>0.14199999999999999</v>
      </c>
      <c r="J180" s="86">
        <v>5.67E-2</v>
      </c>
      <c r="K180" s="86">
        <v>0.21010000000000001</v>
      </c>
      <c r="L180" s="83">
        <v>34</v>
      </c>
      <c r="M180" s="81">
        <v>6.0000000000000001E-3</v>
      </c>
      <c r="N180" s="1" t="s">
        <v>205</v>
      </c>
      <c r="O180" s="82">
        <v>41418</v>
      </c>
      <c r="P180" s="1" t="s">
        <v>276</v>
      </c>
      <c r="Q180" s="1" t="s">
        <v>167</v>
      </c>
    </row>
    <row r="181" spans="1:17" x14ac:dyDescent="0.2">
      <c r="A181" s="1" t="s">
        <v>396</v>
      </c>
      <c r="B181" s="1">
        <v>159931</v>
      </c>
      <c r="C181" s="1">
        <v>1.8520000000000001</v>
      </c>
      <c r="D181" s="81">
        <v>8.2000000000000007E-3</v>
      </c>
      <c r="E181" s="81">
        <v>-2.2000000000000001E-3</v>
      </c>
      <c r="F181" s="85">
        <v>257.32</v>
      </c>
      <c r="G181" s="86">
        <v>-9.5999999999999992E-3</v>
      </c>
      <c r="H181" s="86">
        <v>3.3E-3</v>
      </c>
      <c r="I181" s="86">
        <v>0.10630000000000001</v>
      </c>
      <c r="J181" s="86">
        <v>7.8E-2</v>
      </c>
      <c r="K181" s="86">
        <v>0.37290000000000001</v>
      </c>
      <c r="L181" s="83">
        <v>0.95599999999999996</v>
      </c>
      <c r="M181" s="81">
        <v>6.0000000000000001E-3</v>
      </c>
      <c r="N181" s="1" t="s">
        <v>528</v>
      </c>
      <c r="O181" s="82">
        <v>41533</v>
      </c>
      <c r="P181" s="1" t="s">
        <v>173</v>
      </c>
      <c r="Q181" s="1" t="s">
        <v>218</v>
      </c>
    </row>
    <row r="182" spans="1:17" x14ac:dyDescent="0.2">
      <c r="A182" s="1" t="s">
        <v>529</v>
      </c>
      <c r="B182" s="1">
        <v>159998</v>
      </c>
      <c r="C182" s="1">
        <v>1.0069999999999999</v>
      </c>
      <c r="D182" s="81">
        <v>-9.7999999999999997E-3</v>
      </c>
      <c r="E182" s="81">
        <v>1E-3</v>
      </c>
      <c r="F182" s="85">
        <v>1122.32</v>
      </c>
      <c r="G182" s="86">
        <v>-9.9299999999999999E-2</v>
      </c>
      <c r="H182" s="86">
        <v>-8.5400000000000004E-2</v>
      </c>
      <c r="I182" s="86" t="s">
        <v>157</v>
      </c>
      <c r="J182" s="86" t="s">
        <v>157</v>
      </c>
      <c r="K182" s="86" t="s">
        <v>157</v>
      </c>
      <c r="L182" s="83">
        <v>22.46</v>
      </c>
      <c r="M182" s="81">
        <v>6.0000000000000001E-3</v>
      </c>
      <c r="N182" s="1" t="s">
        <v>488</v>
      </c>
      <c r="O182" s="82">
        <v>43934</v>
      </c>
      <c r="P182" s="1" t="s">
        <v>446</v>
      </c>
      <c r="Q182" s="1" t="s">
        <v>489</v>
      </c>
    </row>
    <row r="183" spans="1:17" x14ac:dyDescent="0.2">
      <c r="A183" s="1" t="s">
        <v>530</v>
      </c>
      <c r="B183" s="1">
        <v>159948</v>
      </c>
      <c r="C183" s="1">
        <v>2.9089999999999998</v>
      </c>
      <c r="D183" s="81">
        <v>3.0999999999999999E-3</v>
      </c>
      <c r="E183" s="81">
        <v>-1E-3</v>
      </c>
      <c r="F183" s="85">
        <v>5247.72</v>
      </c>
      <c r="G183" s="86">
        <v>-0.19170000000000001</v>
      </c>
      <c r="H183" s="86">
        <v>-7.0000000000000007E-2</v>
      </c>
      <c r="I183" s="86">
        <v>0.32590000000000002</v>
      </c>
      <c r="J183" s="86">
        <v>0.50960000000000005</v>
      </c>
      <c r="K183" s="86" t="s">
        <v>157</v>
      </c>
      <c r="L183" s="83">
        <v>24.39</v>
      </c>
      <c r="M183" s="81">
        <v>2E-3</v>
      </c>
      <c r="N183" s="1" t="s">
        <v>215</v>
      </c>
      <c r="O183" s="82">
        <v>42521</v>
      </c>
      <c r="P183" s="1" t="s">
        <v>163</v>
      </c>
      <c r="Q183" s="1" t="s">
        <v>167</v>
      </c>
    </row>
    <row r="184" spans="1:17" x14ac:dyDescent="0.2">
      <c r="A184" s="1" t="s">
        <v>531</v>
      </c>
      <c r="B184" s="1">
        <v>159806</v>
      </c>
      <c r="C184" s="1">
        <v>1.9219999999999999</v>
      </c>
      <c r="D184" s="81">
        <v>7.3000000000000001E-3</v>
      </c>
      <c r="E184" s="81">
        <v>-1.6000000000000001E-3</v>
      </c>
      <c r="F184" s="85">
        <v>5746.92</v>
      </c>
      <c r="G184" s="86">
        <v>-0.14879999999999999</v>
      </c>
      <c r="H184" s="86">
        <v>-8.9099999999999999E-2</v>
      </c>
      <c r="I184" s="86" t="s">
        <v>157</v>
      </c>
      <c r="J184" s="86" t="s">
        <v>157</v>
      </c>
      <c r="K184" s="86" t="s">
        <v>157</v>
      </c>
      <c r="L184" s="83">
        <v>15.66</v>
      </c>
      <c r="M184" s="81">
        <v>6.0000000000000001E-3</v>
      </c>
      <c r="N184" s="1" t="s">
        <v>211</v>
      </c>
      <c r="O184" s="82">
        <v>43910</v>
      </c>
      <c r="P184" s="1" t="s">
        <v>158</v>
      </c>
      <c r="Q184" s="1" t="s">
        <v>212</v>
      </c>
    </row>
    <row r="185" spans="1:17" x14ac:dyDescent="0.2">
      <c r="A185" s="1" t="s">
        <v>103</v>
      </c>
      <c r="B185" s="1">
        <v>159937</v>
      </c>
      <c r="C185" s="1">
        <v>3.524</v>
      </c>
      <c r="D185" s="81">
        <v>-1.4E-2</v>
      </c>
      <c r="E185" s="81">
        <v>-8.9999999999999998E-4</v>
      </c>
      <c r="F185" s="85">
        <v>30563.71</v>
      </c>
      <c r="G185" s="86">
        <v>-6.1499999999999999E-2</v>
      </c>
      <c r="H185" s="86">
        <v>-8.4199999999999997E-2</v>
      </c>
      <c r="I185" s="86">
        <v>-3.3500000000000002E-2</v>
      </c>
      <c r="J185" s="86">
        <v>0.30370000000000003</v>
      </c>
      <c r="K185" s="86">
        <v>0.33129999999999998</v>
      </c>
      <c r="L185" s="83">
        <v>74.59</v>
      </c>
      <c r="M185" s="81">
        <v>6.0000000000000001E-3</v>
      </c>
      <c r="N185" s="1" t="s">
        <v>228</v>
      </c>
      <c r="O185" s="82">
        <v>41883</v>
      </c>
      <c r="P185" s="1" t="s">
        <v>266</v>
      </c>
      <c r="Q185" s="1" t="s">
        <v>229</v>
      </c>
    </row>
    <row r="186" spans="1:17" x14ac:dyDescent="0.2">
      <c r="A186" s="1" t="s">
        <v>532</v>
      </c>
      <c r="B186" s="1">
        <v>515800</v>
      </c>
      <c r="C186" s="1">
        <v>1.2889999999999999</v>
      </c>
      <c r="D186" s="81">
        <v>3.8999999999999998E-3</v>
      </c>
      <c r="E186" s="81">
        <v>2.3E-3</v>
      </c>
      <c r="F186" s="85">
        <v>3422.11</v>
      </c>
      <c r="G186" s="86">
        <v>-9.7299999999999998E-2</v>
      </c>
      <c r="H186" s="86">
        <v>-1.23E-2</v>
      </c>
      <c r="I186" s="86">
        <v>0.29289999999999999</v>
      </c>
      <c r="J186" s="86" t="s">
        <v>157</v>
      </c>
      <c r="K186" s="86" t="s">
        <v>157</v>
      </c>
      <c r="L186" s="83">
        <v>23.4</v>
      </c>
      <c r="M186" s="81">
        <v>2E-3</v>
      </c>
      <c r="N186" s="1" t="s">
        <v>533</v>
      </c>
      <c r="O186" s="82">
        <v>43815</v>
      </c>
      <c r="P186" s="1" t="s">
        <v>173</v>
      </c>
      <c r="Q186" s="1" t="s">
        <v>503</v>
      </c>
    </row>
    <row r="187" spans="1:17" x14ac:dyDescent="0.2">
      <c r="A187" s="1" t="s">
        <v>534</v>
      </c>
      <c r="B187" s="1">
        <v>159850</v>
      </c>
      <c r="C187" s="1">
        <v>0.97499999999999998</v>
      </c>
      <c r="D187" s="81">
        <v>3.0999999999999999E-3</v>
      </c>
      <c r="E187" s="81">
        <v>-3.0999999999999999E-3</v>
      </c>
      <c r="F187" s="85">
        <v>3760.36</v>
      </c>
      <c r="G187" s="86" t="s">
        <v>157</v>
      </c>
      <c r="H187" s="86" t="s">
        <v>157</v>
      </c>
      <c r="I187" s="86" t="s">
        <v>157</v>
      </c>
      <c r="J187" s="86" t="s">
        <v>157</v>
      </c>
      <c r="K187" s="86" t="s">
        <v>157</v>
      </c>
      <c r="L187" s="83">
        <v>11.11</v>
      </c>
      <c r="M187" s="81">
        <v>6.4999999999999997E-3</v>
      </c>
      <c r="N187" s="1" t="s">
        <v>304</v>
      </c>
      <c r="O187" s="82">
        <v>44246</v>
      </c>
      <c r="P187" s="1" t="s">
        <v>171</v>
      </c>
      <c r="Q187" s="1" t="s">
        <v>305</v>
      </c>
    </row>
    <row r="188" spans="1:17" x14ac:dyDescent="0.2">
      <c r="A188" s="1" t="s">
        <v>535</v>
      </c>
      <c r="B188" s="1">
        <v>515690</v>
      </c>
      <c r="C188" s="1">
        <v>1.341</v>
      </c>
      <c r="D188" s="81">
        <v>1.21E-2</v>
      </c>
      <c r="E188" s="81">
        <v>-6.9999999999999999E-4</v>
      </c>
      <c r="F188" s="85">
        <v>54.48</v>
      </c>
      <c r="G188" s="86">
        <v>3.4700000000000002E-2</v>
      </c>
      <c r="H188" s="86">
        <v>7.5399999999999995E-2</v>
      </c>
      <c r="I188" s="86" t="s">
        <v>157</v>
      </c>
      <c r="J188" s="86" t="s">
        <v>157</v>
      </c>
      <c r="K188" s="86" t="s">
        <v>157</v>
      </c>
      <c r="L188" s="83">
        <v>2.36</v>
      </c>
      <c r="M188" s="81">
        <v>3.0000000000000001E-3</v>
      </c>
      <c r="N188" s="1" t="s">
        <v>536</v>
      </c>
      <c r="O188" s="82">
        <v>43964</v>
      </c>
      <c r="P188" s="1" t="s">
        <v>160</v>
      </c>
      <c r="Q188" s="1" t="s">
        <v>240</v>
      </c>
    </row>
    <row r="189" spans="1:17" x14ac:dyDescent="0.2">
      <c r="A189" s="1" t="s">
        <v>537</v>
      </c>
      <c r="B189" s="1">
        <v>515320</v>
      </c>
      <c r="C189" s="1">
        <v>0.88400000000000001</v>
      </c>
      <c r="D189" s="81">
        <v>-1.5599999999999999E-2</v>
      </c>
      <c r="E189" s="81">
        <v>-1.1000000000000001E-3</v>
      </c>
      <c r="F189" s="85">
        <v>2944.53</v>
      </c>
      <c r="G189" s="86">
        <v>-0.1178</v>
      </c>
      <c r="H189" s="86" t="s">
        <v>157</v>
      </c>
      <c r="I189" s="86" t="s">
        <v>157</v>
      </c>
      <c r="J189" s="86" t="s">
        <v>157</v>
      </c>
      <c r="K189" s="86" t="s">
        <v>157</v>
      </c>
      <c r="L189" s="83">
        <v>11.5</v>
      </c>
      <c r="M189" s="81">
        <v>6.0000000000000001E-3</v>
      </c>
      <c r="N189" s="1" t="s">
        <v>471</v>
      </c>
      <c r="O189" s="82">
        <v>44204</v>
      </c>
      <c r="P189" s="1" t="s">
        <v>166</v>
      </c>
      <c r="Q189" s="1" t="s">
        <v>468</v>
      </c>
    </row>
    <row r="190" spans="1:17" x14ac:dyDescent="0.2">
      <c r="A190" s="1" t="s">
        <v>538</v>
      </c>
      <c r="B190" s="1">
        <v>510110</v>
      </c>
      <c r="C190" s="1">
        <v>4.38</v>
      </c>
      <c r="D190" s="81">
        <v>0</v>
      </c>
      <c r="E190" s="81">
        <v>-5.0000000000000001E-3</v>
      </c>
      <c r="F190" s="85">
        <v>76.02</v>
      </c>
      <c r="G190" s="86">
        <v>-1.4200000000000001E-2</v>
      </c>
      <c r="H190" s="86">
        <v>4.24E-2</v>
      </c>
      <c r="I190" s="86">
        <v>0.1915</v>
      </c>
      <c r="J190" s="86">
        <v>0.17580000000000001</v>
      </c>
      <c r="K190" s="86">
        <v>0.57669999999999999</v>
      </c>
      <c r="L190" s="83">
        <v>0.35799999999999998</v>
      </c>
      <c r="M190" s="81">
        <v>6.0000000000000001E-3</v>
      </c>
      <c r="N190" s="1" t="s">
        <v>539</v>
      </c>
      <c r="O190" s="82">
        <v>40497</v>
      </c>
      <c r="P190" s="1" t="s">
        <v>422</v>
      </c>
      <c r="Q190" s="1" t="s">
        <v>540</v>
      </c>
    </row>
    <row r="191" spans="1:17" x14ac:dyDescent="0.2">
      <c r="A191" s="1" t="s">
        <v>541</v>
      </c>
      <c r="B191" s="1">
        <v>515400</v>
      </c>
      <c r="C191" s="1">
        <v>0.89500000000000002</v>
      </c>
      <c r="D191" s="81">
        <v>-6.7000000000000002E-3</v>
      </c>
      <c r="E191" s="81">
        <v>0</v>
      </c>
      <c r="F191" s="85">
        <v>848.39</v>
      </c>
      <c r="G191" s="86">
        <v>-9.4100000000000003E-2</v>
      </c>
      <c r="H191" s="86" t="s">
        <v>157</v>
      </c>
      <c r="I191" s="86" t="s">
        <v>157</v>
      </c>
      <c r="J191" s="86" t="s">
        <v>157</v>
      </c>
      <c r="K191" s="86" t="s">
        <v>157</v>
      </c>
      <c r="L191" s="83">
        <v>5.3</v>
      </c>
      <c r="M191" s="81">
        <v>6.0000000000000001E-3</v>
      </c>
      <c r="N191" s="1" t="s">
        <v>513</v>
      </c>
      <c r="O191" s="82">
        <v>44216</v>
      </c>
      <c r="P191" s="1" t="s">
        <v>232</v>
      </c>
      <c r="Q191" s="1" t="s">
        <v>351</v>
      </c>
    </row>
    <row r="192" spans="1:17" x14ac:dyDescent="0.2">
      <c r="A192" s="1" t="s">
        <v>542</v>
      </c>
      <c r="B192" s="1">
        <v>515020</v>
      </c>
      <c r="C192" s="1">
        <v>1.248</v>
      </c>
      <c r="D192" s="81">
        <v>1.0500000000000001E-2</v>
      </c>
      <c r="E192" s="81">
        <v>-8.0000000000000004E-4</v>
      </c>
      <c r="F192" s="85">
        <v>228.81</v>
      </c>
      <c r="G192" s="86">
        <v>-1.34E-2</v>
      </c>
      <c r="H192" s="86">
        <v>0.1133</v>
      </c>
      <c r="I192" s="86">
        <v>0.30680000000000002</v>
      </c>
      <c r="J192" s="86" t="s">
        <v>157</v>
      </c>
      <c r="K192" s="86" t="s">
        <v>157</v>
      </c>
      <c r="L192" s="83">
        <v>3.04</v>
      </c>
      <c r="M192" s="81">
        <v>6.0000000000000001E-3</v>
      </c>
      <c r="N192" s="1" t="s">
        <v>213</v>
      </c>
      <c r="O192" s="82">
        <v>43802</v>
      </c>
      <c r="P192" s="1" t="s">
        <v>171</v>
      </c>
      <c r="Q192" s="1" t="s">
        <v>214</v>
      </c>
    </row>
    <row r="193" spans="1:17" x14ac:dyDescent="0.2">
      <c r="A193" s="1" t="s">
        <v>543</v>
      </c>
      <c r="B193" s="1">
        <v>159919</v>
      </c>
      <c r="C193" s="1">
        <v>5.1230000000000002</v>
      </c>
      <c r="D193" s="81">
        <v>1.8E-3</v>
      </c>
      <c r="E193" s="81">
        <v>-1.8E-3</v>
      </c>
      <c r="F193" s="85">
        <v>64177.23</v>
      </c>
      <c r="G193" s="86">
        <v>-0.1163</v>
      </c>
      <c r="H193" s="86">
        <v>-1.4800000000000001E-2</v>
      </c>
      <c r="I193" s="86">
        <v>0.30049999999999999</v>
      </c>
      <c r="J193" s="86">
        <v>0.31369999999999998</v>
      </c>
      <c r="K193" s="86">
        <v>0.86350000000000005</v>
      </c>
      <c r="L193" s="83">
        <v>250.93</v>
      </c>
      <c r="M193" s="81">
        <v>6.0000000000000001E-3</v>
      </c>
      <c r="N193" s="1" t="s">
        <v>190</v>
      </c>
      <c r="O193" s="82">
        <v>41057</v>
      </c>
      <c r="P193" s="1" t="s">
        <v>435</v>
      </c>
      <c r="Q193" s="1" t="s">
        <v>155</v>
      </c>
    </row>
    <row r="194" spans="1:17" x14ac:dyDescent="0.2">
      <c r="A194" s="1" t="s">
        <v>94</v>
      </c>
      <c r="B194" s="1">
        <v>510030</v>
      </c>
      <c r="C194" s="1">
        <v>6.7629999999999999</v>
      </c>
      <c r="D194" s="81">
        <v>1.46E-2</v>
      </c>
      <c r="E194" s="81">
        <v>1E-4</v>
      </c>
      <c r="F194" s="85">
        <v>73.739999999999995</v>
      </c>
      <c r="G194" s="86">
        <v>2.3800000000000002E-2</v>
      </c>
      <c r="H194" s="86">
        <v>7.7100000000000002E-2</v>
      </c>
      <c r="I194" s="86">
        <v>0.26129999999999998</v>
      </c>
      <c r="J194" s="86">
        <v>0.28699999999999998</v>
      </c>
      <c r="K194" s="86">
        <v>0.94230000000000003</v>
      </c>
      <c r="L194" s="83">
        <v>1.23</v>
      </c>
      <c r="M194" s="81">
        <v>6.0000000000000001E-3</v>
      </c>
      <c r="N194" s="1" t="s">
        <v>544</v>
      </c>
      <c r="O194" s="82">
        <v>40326</v>
      </c>
      <c r="P194" s="1" t="s">
        <v>200</v>
      </c>
      <c r="Q194" s="1" t="s">
        <v>436</v>
      </c>
    </row>
    <row r="195" spans="1:17" x14ac:dyDescent="0.2">
      <c r="A195" s="1" t="s">
        <v>545</v>
      </c>
      <c r="B195" s="1">
        <v>515200</v>
      </c>
      <c r="C195" s="1">
        <v>1.7949999999999999</v>
      </c>
      <c r="D195" s="81">
        <v>3.3999999999999998E-3</v>
      </c>
      <c r="E195" s="81">
        <v>5.9999999999999995E-4</v>
      </c>
      <c r="F195" s="85">
        <v>873.15</v>
      </c>
      <c r="G195" s="86">
        <v>-0.1593</v>
      </c>
      <c r="H195" s="86">
        <v>-5.4300000000000001E-2</v>
      </c>
      <c r="I195" s="86">
        <v>0.47370000000000001</v>
      </c>
      <c r="J195" s="86" t="s">
        <v>157</v>
      </c>
      <c r="K195" s="86" t="s">
        <v>157</v>
      </c>
      <c r="L195" s="83">
        <v>2.95</v>
      </c>
      <c r="M195" s="81">
        <v>6.0000000000000001E-3</v>
      </c>
      <c r="N195" s="1" t="s">
        <v>546</v>
      </c>
      <c r="O195" s="82">
        <v>43784</v>
      </c>
      <c r="P195" s="1" t="s">
        <v>547</v>
      </c>
      <c r="Q195" s="1" t="s">
        <v>259</v>
      </c>
    </row>
    <row r="196" spans="1:17" x14ac:dyDescent="0.2">
      <c r="A196" s="1" t="s">
        <v>548</v>
      </c>
      <c r="B196" s="1">
        <v>515570</v>
      </c>
      <c r="C196" s="1">
        <v>1.3049999999999999</v>
      </c>
      <c r="D196" s="81">
        <v>3.8E-3</v>
      </c>
      <c r="E196" s="81">
        <v>-5.3E-3</v>
      </c>
      <c r="F196" s="85">
        <v>513.01</v>
      </c>
      <c r="G196" s="86">
        <v>-9.3100000000000002E-2</v>
      </c>
      <c r="H196" s="86">
        <v>-4.19E-2</v>
      </c>
      <c r="I196" s="86" t="s">
        <v>157</v>
      </c>
      <c r="J196" s="86" t="s">
        <v>157</v>
      </c>
      <c r="K196" s="86" t="s">
        <v>157</v>
      </c>
      <c r="L196" s="83">
        <v>0.53600000000000003</v>
      </c>
      <c r="M196" s="81">
        <v>6.0000000000000001E-3</v>
      </c>
      <c r="N196" s="1" t="s">
        <v>549</v>
      </c>
      <c r="O196" s="82">
        <v>43930</v>
      </c>
      <c r="P196" s="1" t="s">
        <v>75</v>
      </c>
      <c r="Q196" s="1" t="s">
        <v>240</v>
      </c>
    </row>
    <row r="197" spans="1:17" x14ac:dyDescent="0.2">
      <c r="A197" s="1" t="s">
        <v>550</v>
      </c>
      <c r="B197" s="1">
        <v>515960</v>
      </c>
      <c r="C197" s="1">
        <v>1.3129999999999999</v>
      </c>
      <c r="D197" s="81">
        <v>5.4000000000000003E-3</v>
      </c>
      <c r="E197" s="81">
        <v>-2.3E-3</v>
      </c>
      <c r="F197" s="85">
        <v>108.94</v>
      </c>
      <c r="G197" s="86">
        <v>-0.1424</v>
      </c>
      <c r="H197" s="86">
        <v>-4.58E-2</v>
      </c>
      <c r="I197" s="86" t="s">
        <v>157</v>
      </c>
      <c r="J197" s="86" t="s">
        <v>157</v>
      </c>
      <c r="K197" s="86" t="s">
        <v>157</v>
      </c>
      <c r="L197" s="83">
        <v>1.27</v>
      </c>
      <c r="M197" s="81">
        <v>6.0000000000000001E-3</v>
      </c>
      <c r="N197" s="1" t="s">
        <v>551</v>
      </c>
      <c r="O197" s="82">
        <v>43992</v>
      </c>
      <c r="P197" s="1" t="s">
        <v>435</v>
      </c>
      <c r="Q197" s="1" t="s">
        <v>201</v>
      </c>
    </row>
    <row r="198" spans="1:17" x14ac:dyDescent="0.2">
      <c r="A198" s="1" t="s">
        <v>552</v>
      </c>
      <c r="B198" s="1">
        <v>159814</v>
      </c>
      <c r="C198" s="1">
        <v>0.54</v>
      </c>
      <c r="D198" s="81">
        <v>3.7000000000000002E-3</v>
      </c>
      <c r="E198" s="81">
        <v>-1.8E-3</v>
      </c>
      <c r="F198" s="85">
        <v>1597.24</v>
      </c>
      <c r="G198" s="86">
        <v>-0.21510000000000001</v>
      </c>
      <c r="H198" s="86">
        <v>-6.3299999999999995E-2</v>
      </c>
      <c r="I198" s="86" t="s">
        <v>157</v>
      </c>
      <c r="J198" s="86" t="s">
        <v>157</v>
      </c>
      <c r="K198" s="86" t="s">
        <v>157</v>
      </c>
      <c r="L198" s="83">
        <v>0.91900000000000004</v>
      </c>
      <c r="M198" s="81">
        <v>6.0000000000000001E-3</v>
      </c>
      <c r="N198" s="1" t="s">
        <v>553</v>
      </c>
      <c r="O198" s="82">
        <v>44029</v>
      </c>
      <c r="P198" s="1" t="s">
        <v>554</v>
      </c>
      <c r="Q198" s="1" t="s">
        <v>167</v>
      </c>
    </row>
    <row r="199" spans="1:17" x14ac:dyDescent="0.2">
      <c r="A199" s="1" t="s">
        <v>555</v>
      </c>
      <c r="B199" s="1">
        <v>510180</v>
      </c>
      <c r="C199" s="1">
        <v>4.2549999999999999</v>
      </c>
      <c r="D199" s="81">
        <v>1.1999999999999999E-3</v>
      </c>
      <c r="E199" s="81">
        <v>-1.1999999999999999E-3</v>
      </c>
      <c r="F199" s="85">
        <v>6240.51</v>
      </c>
      <c r="G199" s="86">
        <v>-8.9800000000000005E-2</v>
      </c>
      <c r="H199" s="86">
        <v>-4.7000000000000002E-3</v>
      </c>
      <c r="I199" s="86">
        <v>0.27210000000000001</v>
      </c>
      <c r="J199" s="86">
        <v>0.28410000000000002</v>
      </c>
      <c r="K199" s="86">
        <v>0.78190000000000004</v>
      </c>
      <c r="L199" s="83">
        <v>239.04</v>
      </c>
      <c r="M199" s="81">
        <v>6.0000000000000001E-3</v>
      </c>
      <c r="N199" s="1" t="s">
        <v>556</v>
      </c>
      <c r="O199" s="82">
        <v>38855</v>
      </c>
      <c r="P199" s="1" t="s">
        <v>166</v>
      </c>
      <c r="Q199" s="1" t="s">
        <v>155</v>
      </c>
    </row>
    <row r="200" spans="1:17" x14ac:dyDescent="0.2">
      <c r="A200" s="1" t="s">
        <v>557</v>
      </c>
      <c r="B200" s="1">
        <v>515520</v>
      </c>
      <c r="C200" s="1">
        <v>1.37</v>
      </c>
      <c r="D200" s="81">
        <v>3.7000000000000002E-3</v>
      </c>
      <c r="E200" s="81">
        <v>-2.2000000000000001E-3</v>
      </c>
      <c r="F200" s="85">
        <v>82.79</v>
      </c>
      <c r="G200" s="86">
        <v>-6.8699999999999997E-2</v>
      </c>
      <c r="H200" s="86">
        <v>-5.1000000000000004E-3</v>
      </c>
      <c r="I200" s="86">
        <v>0.34050000000000002</v>
      </c>
      <c r="J200" s="86" t="s">
        <v>157</v>
      </c>
      <c r="K200" s="86" t="s">
        <v>157</v>
      </c>
      <c r="L200" s="83">
        <v>0.91</v>
      </c>
      <c r="M200" s="81">
        <v>6.0000000000000001E-3</v>
      </c>
      <c r="N200" s="1" t="s">
        <v>558</v>
      </c>
      <c r="O200" s="82">
        <v>43787</v>
      </c>
      <c r="P200" s="1" t="s">
        <v>358</v>
      </c>
      <c r="Q200" s="1" t="s">
        <v>559</v>
      </c>
    </row>
    <row r="201" spans="1:17" x14ac:dyDescent="0.2">
      <c r="A201" s="1" t="s">
        <v>560</v>
      </c>
      <c r="B201" s="1">
        <v>516050</v>
      </c>
      <c r="C201" s="1">
        <v>0.86099999999999999</v>
      </c>
      <c r="D201" s="81">
        <v>-8.0999999999999996E-3</v>
      </c>
      <c r="E201" s="81">
        <v>-1.1999999999999999E-3</v>
      </c>
      <c r="F201" s="85">
        <v>3182.45</v>
      </c>
      <c r="G201" s="86">
        <v>-0.1424</v>
      </c>
      <c r="H201" s="86" t="s">
        <v>157</v>
      </c>
      <c r="I201" s="86" t="s">
        <v>157</v>
      </c>
      <c r="J201" s="86" t="s">
        <v>157</v>
      </c>
      <c r="K201" s="86" t="s">
        <v>157</v>
      </c>
      <c r="L201" s="83">
        <v>11.87</v>
      </c>
      <c r="M201" s="81">
        <v>5.1999999999999998E-3</v>
      </c>
      <c r="N201" s="1" t="s">
        <v>258</v>
      </c>
      <c r="O201" s="82">
        <v>44232</v>
      </c>
      <c r="P201" s="1" t="s">
        <v>319</v>
      </c>
      <c r="Q201" s="1" t="s">
        <v>259</v>
      </c>
    </row>
    <row r="202" spans="1:17" x14ac:dyDescent="0.2">
      <c r="A202" s="1" t="s">
        <v>483</v>
      </c>
      <c r="B202" s="1">
        <v>510060</v>
      </c>
      <c r="C202" s="1">
        <v>2.1549999999999998</v>
      </c>
      <c r="D202" s="81">
        <v>1.2699999999999999E-2</v>
      </c>
      <c r="E202" s="81">
        <v>-6.4999999999999997E-3</v>
      </c>
      <c r="F202" s="85">
        <v>31.51</v>
      </c>
      <c r="G202" s="86">
        <v>-1.15E-2</v>
      </c>
      <c r="H202" s="86">
        <v>4.6100000000000002E-2</v>
      </c>
      <c r="I202" s="86">
        <v>0.19789999999999999</v>
      </c>
      <c r="J202" s="86">
        <v>0.1348</v>
      </c>
      <c r="K202" s="86">
        <v>0.54259999999999997</v>
      </c>
      <c r="L202" s="83">
        <v>1.1200000000000001</v>
      </c>
      <c r="M202" s="81">
        <v>6.0000000000000001E-3</v>
      </c>
      <c r="N202" s="1" t="s">
        <v>561</v>
      </c>
      <c r="O202" s="82">
        <v>40113</v>
      </c>
      <c r="P202" s="1" t="s">
        <v>319</v>
      </c>
      <c r="Q202" s="1" t="s">
        <v>485</v>
      </c>
    </row>
    <row r="203" spans="1:17" x14ac:dyDescent="0.2">
      <c r="A203" s="1" t="s">
        <v>562</v>
      </c>
      <c r="B203" s="1">
        <v>512390</v>
      </c>
      <c r="C203" s="1">
        <v>1.4590000000000001</v>
      </c>
      <c r="D203" s="81">
        <v>1.4E-3</v>
      </c>
      <c r="E203" s="81">
        <v>-8.2000000000000007E-3</v>
      </c>
      <c r="F203" s="85">
        <v>0.4083</v>
      </c>
      <c r="G203" s="86">
        <v>-7.2499999999999995E-2</v>
      </c>
      <c r="H203" s="86">
        <v>-6.9999999999999999E-4</v>
      </c>
      <c r="I203" s="86">
        <v>0.35089999999999999</v>
      </c>
      <c r="J203" s="86" t="s">
        <v>157</v>
      </c>
      <c r="K203" s="86" t="s">
        <v>157</v>
      </c>
      <c r="L203" s="83">
        <v>2.95</v>
      </c>
      <c r="M203" s="81">
        <v>6.0000000000000001E-3</v>
      </c>
      <c r="N203" s="1" t="s">
        <v>563</v>
      </c>
      <c r="O203" s="82">
        <v>43294</v>
      </c>
      <c r="P203" s="1" t="s">
        <v>274</v>
      </c>
      <c r="Q203" s="1" t="s">
        <v>564</v>
      </c>
    </row>
    <row r="204" spans="1:17" x14ac:dyDescent="0.2">
      <c r="A204" s="1" t="s">
        <v>565</v>
      </c>
      <c r="B204" s="1">
        <v>510190</v>
      </c>
      <c r="C204" s="1">
        <v>4.0759999999999996</v>
      </c>
      <c r="D204" s="81">
        <v>4.8999999999999998E-3</v>
      </c>
      <c r="E204" s="81">
        <v>1.6999999999999999E-3</v>
      </c>
      <c r="F204" s="85">
        <v>37.28</v>
      </c>
      <c r="G204" s="86">
        <v>-7.5499999999999998E-2</v>
      </c>
      <c r="H204" s="86">
        <v>-1.55E-2</v>
      </c>
      <c r="I204" s="86">
        <v>0.15570000000000001</v>
      </c>
      <c r="J204" s="86">
        <v>8.3199999999999996E-2</v>
      </c>
      <c r="K204" s="86">
        <v>0.44030000000000002</v>
      </c>
      <c r="L204" s="83">
        <v>0.77200000000000002</v>
      </c>
      <c r="M204" s="81">
        <v>6.0000000000000001E-3</v>
      </c>
      <c r="N204" s="1" t="s">
        <v>566</v>
      </c>
      <c r="O204" s="82">
        <v>40553</v>
      </c>
      <c r="P204" s="1" t="s">
        <v>166</v>
      </c>
      <c r="Q204" s="1" t="s">
        <v>155</v>
      </c>
    </row>
    <row r="205" spans="1:17" x14ac:dyDescent="0.2">
      <c r="A205" s="1" t="s">
        <v>567</v>
      </c>
      <c r="B205" s="1">
        <v>512950</v>
      </c>
      <c r="C205" s="1">
        <v>1.1639999999999999</v>
      </c>
      <c r="D205" s="81">
        <v>1.3899999999999999E-2</v>
      </c>
      <c r="E205" s="81">
        <v>0</v>
      </c>
      <c r="F205" s="85">
        <v>260.52999999999997</v>
      </c>
      <c r="G205" s="86">
        <v>-4.2000000000000003E-2</v>
      </c>
      <c r="H205" s="86">
        <v>3.3999999999999998E-3</v>
      </c>
      <c r="I205" s="86">
        <v>0.17219999999999999</v>
      </c>
      <c r="J205" s="86" t="s">
        <v>157</v>
      </c>
      <c r="K205" s="86" t="s">
        <v>157</v>
      </c>
      <c r="L205" s="83">
        <v>88.79</v>
      </c>
      <c r="M205" s="81">
        <v>2E-3</v>
      </c>
      <c r="N205" s="1" t="s">
        <v>484</v>
      </c>
      <c r="O205" s="82">
        <v>43483</v>
      </c>
      <c r="P205" s="1" t="s">
        <v>171</v>
      </c>
      <c r="Q205" s="1" t="s">
        <v>485</v>
      </c>
    </row>
    <row r="206" spans="1:17" x14ac:dyDescent="0.2">
      <c r="A206" s="1" t="s">
        <v>568</v>
      </c>
      <c r="B206" s="1">
        <v>515090</v>
      </c>
      <c r="C206" s="1">
        <v>1.387</v>
      </c>
      <c r="D206" s="81">
        <v>1.0200000000000001E-2</v>
      </c>
      <c r="E206" s="81">
        <v>1.4E-3</v>
      </c>
      <c r="F206" s="85">
        <v>290.75</v>
      </c>
      <c r="G206" s="86">
        <v>-8.0199999999999994E-2</v>
      </c>
      <c r="H206" s="86">
        <v>3.0499999999999999E-2</v>
      </c>
      <c r="I206" s="86">
        <v>0.37740000000000001</v>
      </c>
      <c r="J206" s="86" t="s">
        <v>157</v>
      </c>
      <c r="K206" s="86" t="s">
        <v>157</v>
      </c>
      <c r="L206" s="83">
        <v>2.95</v>
      </c>
      <c r="M206" s="81">
        <v>6.0000000000000001E-3</v>
      </c>
      <c r="N206" s="1" t="s">
        <v>569</v>
      </c>
      <c r="O206" s="82">
        <v>43881</v>
      </c>
      <c r="P206" s="1" t="s">
        <v>266</v>
      </c>
      <c r="Q206" s="1" t="s">
        <v>570</v>
      </c>
    </row>
    <row r="207" spans="1:17" x14ac:dyDescent="0.2">
      <c r="A207" s="1" t="s">
        <v>571</v>
      </c>
      <c r="B207" s="1">
        <v>511360</v>
      </c>
      <c r="C207" s="1">
        <v>101.55500000000001</v>
      </c>
      <c r="D207" s="81">
        <v>-1E-4</v>
      </c>
      <c r="E207" s="81">
        <v>0</v>
      </c>
      <c r="F207" s="85">
        <v>539.24</v>
      </c>
      <c r="G207" s="86">
        <v>2E-3</v>
      </c>
      <c r="H207" s="86">
        <v>4.4999999999999997E-3</v>
      </c>
      <c r="I207" s="86" t="s">
        <v>157</v>
      </c>
      <c r="J207" s="86" t="s">
        <v>157</v>
      </c>
      <c r="K207" s="86" t="s">
        <v>157</v>
      </c>
      <c r="L207" s="83">
        <v>1.68</v>
      </c>
      <c r="M207" s="81">
        <v>2E-3</v>
      </c>
      <c r="N207" s="1" t="s">
        <v>572</v>
      </c>
      <c r="O207" s="82">
        <v>44099</v>
      </c>
      <c r="P207" s="1" t="s">
        <v>422</v>
      </c>
      <c r="Q207" s="1" t="s">
        <v>573</v>
      </c>
    </row>
    <row r="208" spans="1:17" x14ac:dyDescent="0.2">
      <c r="A208" s="1" t="s">
        <v>108</v>
      </c>
      <c r="B208" s="1">
        <v>159841</v>
      </c>
      <c r="C208" s="1">
        <v>0.92900000000000005</v>
      </c>
      <c r="D208" s="81">
        <v>-1.1000000000000001E-3</v>
      </c>
      <c r="E208" s="81">
        <v>-1.1000000000000001E-3</v>
      </c>
      <c r="F208" s="85">
        <v>5899.46</v>
      </c>
      <c r="G208" s="86">
        <v>-6.8199999999999997E-2</v>
      </c>
      <c r="H208" s="86" t="s">
        <v>157</v>
      </c>
      <c r="I208" s="86" t="s">
        <v>157</v>
      </c>
      <c r="J208" s="86" t="s">
        <v>157</v>
      </c>
      <c r="K208" s="86" t="s">
        <v>157</v>
      </c>
      <c r="L208" s="83">
        <v>3.71</v>
      </c>
      <c r="M208" s="81">
        <v>6.0000000000000001E-3</v>
      </c>
      <c r="N208" s="1" t="s">
        <v>196</v>
      </c>
      <c r="O208" s="82">
        <v>44236</v>
      </c>
      <c r="P208" s="1" t="s">
        <v>446</v>
      </c>
      <c r="Q208" s="1" t="s">
        <v>169</v>
      </c>
    </row>
    <row r="209" spans="1:17" x14ac:dyDescent="0.2">
      <c r="A209" s="1" t="s">
        <v>574</v>
      </c>
      <c r="B209" s="1">
        <v>515900</v>
      </c>
      <c r="C209" s="1">
        <v>1.0760000000000001</v>
      </c>
      <c r="D209" s="81">
        <v>1.41E-2</v>
      </c>
      <c r="E209" s="81">
        <v>-1.9E-3</v>
      </c>
      <c r="F209" s="85">
        <v>17.25</v>
      </c>
      <c r="G209" s="86">
        <v>-4.5999999999999999E-3</v>
      </c>
      <c r="H209" s="86">
        <v>3.3599999999999998E-2</v>
      </c>
      <c r="I209" s="86">
        <v>0.1162</v>
      </c>
      <c r="J209" s="86" t="s">
        <v>157</v>
      </c>
      <c r="K209" s="86" t="s">
        <v>157</v>
      </c>
      <c r="L209" s="83">
        <v>49.31</v>
      </c>
      <c r="M209" s="81">
        <v>2E-3</v>
      </c>
      <c r="N209" s="1" t="s">
        <v>575</v>
      </c>
      <c r="O209" s="82">
        <v>43817</v>
      </c>
      <c r="P209" s="1" t="s">
        <v>266</v>
      </c>
      <c r="Q209" s="1" t="s">
        <v>485</v>
      </c>
    </row>
    <row r="210" spans="1:17" x14ac:dyDescent="0.2">
      <c r="A210" s="1" t="s">
        <v>576</v>
      </c>
      <c r="B210" s="1">
        <v>515130</v>
      </c>
      <c r="C210" s="1">
        <v>1.454</v>
      </c>
      <c r="D210" s="81">
        <v>6.1999999999999998E-3</v>
      </c>
      <c r="E210" s="81">
        <v>0</v>
      </c>
      <c r="F210" s="85">
        <v>822.42</v>
      </c>
      <c r="G210" s="86">
        <v>-0.1123</v>
      </c>
      <c r="H210" s="86">
        <v>-6.1999999999999998E-3</v>
      </c>
      <c r="I210" s="86" t="s">
        <v>157</v>
      </c>
      <c r="J210" s="86" t="s">
        <v>157</v>
      </c>
      <c r="K210" s="86" t="s">
        <v>157</v>
      </c>
      <c r="L210" s="83">
        <v>6.88</v>
      </c>
      <c r="M210" s="81">
        <v>2E-3</v>
      </c>
      <c r="N210" s="1" t="s">
        <v>190</v>
      </c>
      <c r="O210" s="82">
        <v>43962</v>
      </c>
      <c r="P210" s="1" t="s">
        <v>266</v>
      </c>
      <c r="Q210" s="1" t="s">
        <v>155</v>
      </c>
    </row>
    <row r="211" spans="1:17" x14ac:dyDescent="0.2">
      <c r="A211" s="1" t="s">
        <v>577</v>
      </c>
      <c r="B211" s="1">
        <v>513600</v>
      </c>
      <c r="C211" s="1">
        <v>2.7269999999999999</v>
      </c>
      <c r="D211" s="81">
        <v>-5.7999999999999996E-3</v>
      </c>
      <c r="E211" s="81">
        <v>0</v>
      </c>
      <c r="F211" s="85">
        <v>3833.08</v>
      </c>
      <c r="G211" s="86">
        <v>-2.0799999999999999E-2</v>
      </c>
      <c r="H211" s="86">
        <v>7.8700000000000006E-2</v>
      </c>
      <c r="I211" s="86">
        <v>0.1167</v>
      </c>
      <c r="J211" s="86">
        <v>4.4400000000000002E-2</v>
      </c>
      <c r="K211" s="86">
        <v>0.58730000000000004</v>
      </c>
      <c r="L211" s="83">
        <v>2.52</v>
      </c>
      <c r="M211" s="81">
        <v>6.0000000000000001E-3</v>
      </c>
      <c r="N211" s="1" t="s">
        <v>261</v>
      </c>
      <c r="O211" s="82">
        <v>42030</v>
      </c>
      <c r="P211" s="1" t="s">
        <v>163</v>
      </c>
      <c r="Q211" s="1" t="s">
        <v>262</v>
      </c>
    </row>
    <row r="212" spans="1:17" x14ac:dyDescent="0.2">
      <c r="A212" s="1" t="s">
        <v>578</v>
      </c>
      <c r="B212" s="1">
        <v>511180</v>
      </c>
      <c r="C212" s="1">
        <v>10.111000000000001</v>
      </c>
      <c r="D212" s="81">
        <v>3.3E-3</v>
      </c>
      <c r="E212" s="81">
        <v>-2.5000000000000001E-3</v>
      </c>
      <c r="F212" s="85">
        <v>1758.95</v>
      </c>
      <c r="G212" s="86">
        <v>3.2000000000000002E-3</v>
      </c>
      <c r="H212" s="86">
        <v>5.4999999999999997E-3</v>
      </c>
      <c r="I212" s="86" t="s">
        <v>157</v>
      </c>
      <c r="J212" s="86" t="s">
        <v>157</v>
      </c>
      <c r="K212" s="86" t="s">
        <v>157</v>
      </c>
      <c r="L212" s="83">
        <v>3.16</v>
      </c>
      <c r="M212" s="81">
        <v>3.0000000000000001E-3</v>
      </c>
      <c r="N212" s="1" t="s">
        <v>579</v>
      </c>
      <c r="O212" s="82">
        <v>44069</v>
      </c>
      <c r="P212" s="1" t="s">
        <v>422</v>
      </c>
      <c r="Q212" s="1" t="s">
        <v>380</v>
      </c>
    </row>
    <row r="213" spans="1:17" x14ac:dyDescent="0.2">
      <c r="A213" s="1" t="s">
        <v>152</v>
      </c>
      <c r="B213" s="1">
        <v>159982</v>
      </c>
      <c r="C213" s="1">
        <v>1.331</v>
      </c>
      <c r="D213" s="81">
        <v>1.5E-3</v>
      </c>
      <c r="E213" s="81">
        <v>-2.2000000000000001E-3</v>
      </c>
      <c r="F213" s="85">
        <v>1849.92</v>
      </c>
      <c r="G213" s="86">
        <v>-4.1799999999999997E-2</v>
      </c>
      <c r="H213" s="86">
        <v>-8.8999999999999999E-3</v>
      </c>
      <c r="I213" s="86">
        <v>0.26519999999999999</v>
      </c>
      <c r="J213" s="86" t="s">
        <v>157</v>
      </c>
      <c r="K213" s="86" t="s">
        <v>157</v>
      </c>
      <c r="L213" s="83">
        <v>2.54</v>
      </c>
      <c r="M213" s="81">
        <v>2E-3</v>
      </c>
      <c r="N213" s="1" t="s">
        <v>205</v>
      </c>
      <c r="O213" s="82">
        <v>43881</v>
      </c>
      <c r="P213" s="1" t="s">
        <v>160</v>
      </c>
      <c r="Q213" s="1" t="s">
        <v>167</v>
      </c>
    </row>
    <row r="214" spans="1:17" x14ac:dyDescent="0.2">
      <c r="A214" s="1" t="s">
        <v>580</v>
      </c>
      <c r="B214" s="1">
        <v>515150</v>
      </c>
      <c r="C214" s="1">
        <v>1.2110000000000001</v>
      </c>
      <c r="D214" s="81">
        <v>1.09E-2</v>
      </c>
      <c r="E214" s="81">
        <v>8.0000000000000004E-4</v>
      </c>
      <c r="F214" s="85">
        <v>52.75</v>
      </c>
      <c r="G214" s="86">
        <v>2.1899999999999999E-2</v>
      </c>
      <c r="H214" s="86">
        <v>6.2300000000000001E-2</v>
      </c>
      <c r="I214" s="86">
        <v>0.24590000000000001</v>
      </c>
      <c r="J214" s="86" t="s">
        <v>157</v>
      </c>
      <c r="K214" s="86" t="s">
        <v>157</v>
      </c>
      <c r="L214" s="83">
        <v>22.34</v>
      </c>
      <c r="M214" s="81">
        <v>2E-3</v>
      </c>
      <c r="N214" s="1" t="s">
        <v>581</v>
      </c>
      <c r="O214" s="82">
        <v>43845</v>
      </c>
      <c r="P214" s="1" t="s">
        <v>232</v>
      </c>
      <c r="Q214" s="1" t="s">
        <v>582</v>
      </c>
    </row>
    <row r="215" spans="1:17" x14ac:dyDescent="0.2">
      <c r="A215" s="1" t="s">
        <v>583</v>
      </c>
      <c r="B215" s="1">
        <v>515990</v>
      </c>
      <c r="C215" s="1">
        <v>1.24</v>
      </c>
      <c r="D215" s="81">
        <v>0</v>
      </c>
      <c r="E215" s="81">
        <v>-7.1999999999999998E-3</v>
      </c>
      <c r="F215" s="85">
        <v>17.96</v>
      </c>
      <c r="G215" s="86">
        <v>2.06E-2</v>
      </c>
      <c r="H215" s="86">
        <v>4.7300000000000002E-2</v>
      </c>
      <c r="I215" s="86">
        <v>0.26019999999999999</v>
      </c>
      <c r="J215" s="86" t="s">
        <v>157</v>
      </c>
      <c r="K215" s="86" t="s">
        <v>157</v>
      </c>
      <c r="L215" s="83">
        <v>6.05</v>
      </c>
      <c r="M215" s="81">
        <v>2E-3</v>
      </c>
      <c r="N215" s="1" t="s">
        <v>581</v>
      </c>
      <c r="O215" s="82">
        <v>43845</v>
      </c>
      <c r="P215" s="1" t="s">
        <v>173</v>
      </c>
      <c r="Q215" s="1" t="s">
        <v>582</v>
      </c>
    </row>
    <row r="216" spans="1:17" x14ac:dyDescent="0.2">
      <c r="A216" s="1" t="s">
        <v>269</v>
      </c>
      <c r="B216" s="1">
        <v>159926</v>
      </c>
      <c r="C216" s="1">
        <v>113.598</v>
      </c>
      <c r="D216" s="81">
        <v>-1.5E-3</v>
      </c>
      <c r="E216" s="81">
        <v>-4.7999999999999996E-3</v>
      </c>
      <c r="F216" s="85">
        <v>7.49</v>
      </c>
      <c r="G216" s="86">
        <v>1E-3</v>
      </c>
      <c r="H216" s="86">
        <v>4.0000000000000001E-3</v>
      </c>
      <c r="I216" s="86">
        <v>-2.07E-2</v>
      </c>
      <c r="J216" s="86">
        <v>6.1699999999999998E-2</v>
      </c>
      <c r="K216" s="86">
        <v>-1.21E-2</v>
      </c>
      <c r="L216" s="83">
        <v>0.19700000000000001</v>
      </c>
      <c r="M216" s="81">
        <v>4.0000000000000001E-3</v>
      </c>
      <c r="N216" s="1" t="s">
        <v>584</v>
      </c>
      <c r="O216" s="82">
        <v>41491</v>
      </c>
      <c r="P216" s="1" t="s">
        <v>435</v>
      </c>
      <c r="Q216" s="1" t="s">
        <v>271</v>
      </c>
    </row>
    <row r="217" spans="1:17" x14ac:dyDescent="0.2">
      <c r="A217" s="1" t="s">
        <v>585</v>
      </c>
      <c r="B217" s="1">
        <v>511020</v>
      </c>
      <c r="C217" s="1">
        <v>104.218</v>
      </c>
      <c r="D217" s="81">
        <v>6.9999999999999999E-4</v>
      </c>
      <c r="E217" s="81">
        <v>0</v>
      </c>
      <c r="F217" s="85">
        <v>0.83399999999999996</v>
      </c>
      <c r="G217" s="86">
        <v>-3.7000000000000002E-3</v>
      </c>
      <c r="H217" s="86">
        <v>3.5999999999999999E-3</v>
      </c>
      <c r="I217" s="86">
        <v>-1.49E-2</v>
      </c>
      <c r="J217" s="86" t="s">
        <v>157</v>
      </c>
      <c r="K217" s="86" t="s">
        <v>157</v>
      </c>
      <c r="L217" s="83">
        <v>12.3</v>
      </c>
      <c r="M217" s="81">
        <v>3.0000000000000001E-3</v>
      </c>
      <c r="N217" s="1" t="s">
        <v>586</v>
      </c>
      <c r="O217" s="82">
        <v>43518</v>
      </c>
      <c r="P217" s="1" t="s">
        <v>274</v>
      </c>
      <c r="Q217" s="1" t="s">
        <v>271</v>
      </c>
    </row>
    <row r="218" spans="1:17" x14ac:dyDescent="0.2">
      <c r="A218" s="1" t="s">
        <v>587</v>
      </c>
      <c r="B218" s="1">
        <v>159936</v>
      </c>
      <c r="C218" s="1">
        <v>1.94</v>
      </c>
      <c r="D218" s="81">
        <v>9.9000000000000008E-3</v>
      </c>
      <c r="E218" s="81">
        <v>-5.1000000000000004E-3</v>
      </c>
      <c r="F218" s="85">
        <v>80.3</v>
      </c>
      <c r="G218" s="86">
        <v>-9.35E-2</v>
      </c>
      <c r="H218" s="86">
        <v>-1.52E-2</v>
      </c>
      <c r="I218" s="86">
        <v>0.3407</v>
      </c>
      <c r="J218" s="86">
        <v>0.21709999999999999</v>
      </c>
      <c r="K218" s="86">
        <v>0.44450000000000001</v>
      </c>
      <c r="L218" s="83">
        <v>3.87</v>
      </c>
      <c r="M218" s="81">
        <v>6.0000000000000001E-3</v>
      </c>
      <c r="N218" s="1" t="s">
        <v>588</v>
      </c>
      <c r="O218" s="82">
        <v>41815</v>
      </c>
      <c r="P218" s="1" t="s">
        <v>276</v>
      </c>
      <c r="Q218" s="1" t="s">
        <v>174</v>
      </c>
    </row>
    <row r="219" spans="1:17" x14ac:dyDescent="0.2">
      <c r="A219" s="1" t="s">
        <v>589</v>
      </c>
      <c r="B219" s="1">
        <v>515920</v>
      </c>
      <c r="C219" s="1">
        <v>0.876</v>
      </c>
      <c r="D219" s="81">
        <v>-4.4999999999999997E-3</v>
      </c>
      <c r="E219" s="81">
        <v>-1.1000000000000001E-3</v>
      </c>
      <c r="F219" s="85">
        <v>1307.0999999999999</v>
      </c>
      <c r="G219" s="86">
        <v>-0.1479</v>
      </c>
      <c r="H219" s="86" t="s">
        <v>157</v>
      </c>
      <c r="I219" s="86" t="s">
        <v>157</v>
      </c>
      <c r="J219" s="86" t="s">
        <v>157</v>
      </c>
      <c r="K219" s="86" t="s">
        <v>157</v>
      </c>
      <c r="L219" s="83">
        <v>9.0399999999999991</v>
      </c>
      <c r="M219" s="81">
        <v>6.0000000000000001E-3</v>
      </c>
      <c r="N219" s="1" t="s">
        <v>590</v>
      </c>
      <c r="O219" s="82">
        <v>44216</v>
      </c>
      <c r="P219" s="1" t="s">
        <v>266</v>
      </c>
      <c r="Q219" s="1" t="s">
        <v>174</v>
      </c>
    </row>
    <row r="220" spans="1:17" x14ac:dyDescent="0.2">
      <c r="A220" s="1" t="s">
        <v>591</v>
      </c>
      <c r="B220" s="1">
        <v>510360</v>
      </c>
      <c r="C220" s="1">
        <v>1.7410000000000001</v>
      </c>
      <c r="D220" s="81">
        <v>5.1999999999999998E-3</v>
      </c>
      <c r="E220" s="81">
        <v>0</v>
      </c>
      <c r="F220" s="85">
        <v>3240.82</v>
      </c>
      <c r="G220" s="86">
        <v>-0.1113</v>
      </c>
      <c r="H220" s="86">
        <v>-9.7000000000000003E-3</v>
      </c>
      <c r="I220" s="86">
        <v>0.31790000000000002</v>
      </c>
      <c r="J220" s="86">
        <v>0.35070000000000001</v>
      </c>
      <c r="K220" s="86">
        <v>0.94310000000000005</v>
      </c>
      <c r="L220" s="83">
        <v>25.94</v>
      </c>
      <c r="M220" s="81">
        <v>6.0000000000000001E-3</v>
      </c>
      <c r="N220" s="1" t="s">
        <v>190</v>
      </c>
      <c r="O220" s="82">
        <v>42256</v>
      </c>
      <c r="P220" s="1" t="s">
        <v>276</v>
      </c>
      <c r="Q220" s="1" t="s">
        <v>155</v>
      </c>
    </row>
    <row r="221" spans="1:17" x14ac:dyDescent="0.2">
      <c r="A221" s="1" t="s">
        <v>592</v>
      </c>
      <c r="B221" s="1">
        <v>510390</v>
      </c>
      <c r="C221" s="1">
        <v>5.2830000000000004</v>
      </c>
      <c r="D221" s="81">
        <v>4.4000000000000003E-3</v>
      </c>
      <c r="E221" s="81">
        <v>-5.9999999999999995E-4</v>
      </c>
      <c r="F221" s="85">
        <v>5925.7</v>
      </c>
      <c r="G221" s="86">
        <v>-0.1158</v>
      </c>
      <c r="H221" s="86">
        <v>-1.23E-2</v>
      </c>
      <c r="I221" s="86">
        <v>0.33729999999999999</v>
      </c>
      <c r="J221" s="86">
        <v>0.35749999999999998</v>
      </c>
      <c r="K221" s="86" t="s">
        <v>157</v>
      </c>
      <c r="L221" s="83">
        <v>22.08</v>
      </c>
      <c r="M221" s="81">
        <v>6.0000000000000001E-3</v>
      </c>
      <c r="N221" s="1" t="s">
        <v>190</v>
      </c>
      <c r="O221" s="82">
        <v>43126</v>
      </c>
      <c r="P221" s="1" t="s">
        <v>274</v>
      </c>
      <c r="Q221" s="1" t="s">
        <v>155</v>
      </c>
    </row>
    <row r="222" spans="1:17" x14ac:dyDescent="0.2">
      <c r="A222" s="1" t="s">
        <v>593</v>
      </c>
      <c r="B222" s="1">
        <v>159804</v>
      </c>
      <c r="C222" s="1">
        <v>1.0169999999999999</v>
      </c>
      <c r="D222" s="81">
        <v>-7.7999999999999996E-3</v>
      </c>
      <c r="E222" s="81">
        <v>-2E-3</v>
      </c>
      <c r="F222" s="85">
        <v>213.5</v>
      </c>
      <c r="G222" s="86">
        <v>-2.12E-2</v>
      </c>
      <c r="H222" s="86">
        <v>-0.1263</v>
      </c>
      <c r="I222" s="86" t="s">
        <v>157</v>
      </c>
      <c r="J222" s="86" t="s">
        <v>157</v>
      </c>
      <c r="K222" s="86" t="s">
        <v>157</v>
      </c>
      <c r="L222" s="83">
        <v>3.54</v>
      </c>
      <c r="M222" s="81">
        <v>4.0000000000000001E-3</v>
      </c>
      <c r="N222" s="1" t="s">
        <v>594</v>
      </c>
      <c r="O222" s="82">
        <v>43921</v>
      </c>
      <c r="P222" s="1" t="s">
        <v>374</v>
      </c>
      <c r="Q222" s="1" t="s">
        <v>595</v>
      </c>
    </row>
    <row r="223" spans="1:17" x14ac:dyDescent="0.2">
      <c r="A223" s="1" t="s">
        <v>596</v>
      </c>
      <c r="B223" s="1">
        <v>512530</v>
      </c>
      <c r="C223" s="1">
        <v>1.2450000000000001</v>
      </c>
      <c r="D223" s="81">
        <v>8.0999999999999996E-3</v>
      </c>
      <c r="E223" s="81">
        <v>-8.0000000000000002E-3</v>
      </c>
      <c r="F223" s="85">
        <v>51.4</v>
      </c>
      <c r="G223" s="86">
        <v>1.2200000000000001E-2</v>
      </c>
      <c r="H223" s="86">
        <v>7.51E-2</v>
      </c>
      <c r="I223" s="86">
        <v>0.2601</v>
      </c>
      <c r="J223" s="86" t="s">
        <v>157</v>
      </c>
      <c r="K223" s="86" t="s">
        <v>157</v>
      </c>
      <c r="L223" s="83">
        <v>1.02</v>
      </c>
      <c r="M223" s="81">
        <v>6.0000000000000001E-3</v>
      </c>
      <c r="N223" s="1" t="s">
        <v>597</v>
      </c>
      <c r="O223" s="82">
        <v>43731</v>
      </c>
      <c r="P223" s="1" t="s">
        <v>327</v>
      </c>
      <c r="Q223" s="1" t="s">
        <v>240</v>
      </c>
    </row>
    <row r="224" spans="1:17" x14ac:dyDescent="0.2">
      <c r="A224" s="1" t="s">
        <v>598</v>
      </c>
      <c r="B224" s="1">
        <v>511270</v>
      </c>
      <c r="C224" s="1">
        <v>102.833</v>
      </c>
      <c r="D224" s="81">
        <v>1.2999999999999999E-3</v>
      </c>
      <c r="E224" s="81">
        <v>0</v>
      </c>
      <c r="F224" s="85">
        <v>128.5</v>
      </c>
      <c r="G224" s="86">
        <v>-1.6000000000000001E-3</v>
      </c>
      <c r="H224" s="86">
        <v>-1.32E-2</v>
      </c>
      <c r="I224" s="86">
        <v>-1.0800000000000001E-2</v>
      </c>
      <c r="J224" s="86" t="s">
        <v>157</v>
      </c>
      <c r="K224" s="86" t="s">
        <v>157</v>
      </c>
      <c r="L224" s="83">
        <v>8.08</v>
      </c>
      <c r="M224" s="81">
        <v>3.5000000000000001E-3</v>
      </c>
      <c r="N224" s="1" t="s">
        <v>599</v>
      </c>
      <c r="O224" s="82">
        <v>43426</v>
      </c>
      <c r="P224" s="1" t="s">
        <v>422</v>
      </c>
      <c r="Q224" s="1" t="s">
        <v>600</v>
      </c>
    </row>
    <row r="225" spans="1:17" x14ac:dyDescent="0.2">
      <c r="A225" s="1" t="s">
        <v>601</v>
      </c>
      <c r="B225" s="1">
        <v>512640</v>
      </c>
      <c r="C225" s="1">
        <v>2.2400000000000002</v>
      </c>
      <c r="D225" s="81">
        <v>7.1999999999999998E-3</v>
      </c>
      <c r="E225" s="81">
        <v>-4.0000000000000002E-4</v>
      </c>
      <c r="F225" s="85">
        <v>26.01</v>
      </c>
      <c r="G225" s="86">
        <v>-4.4000000000000003E-3</v>
      </c>
      <c r="H225" s="86">
        <v>1.2200000000000001E-2</v>
      </c>
      <c r="I225" s="86">
        <v>0.15229999999999999</v>
      </c>
      <c r="J225" s="86">
        <v>0.14699999999999999</v>
      </c>
      <c r="K225" s="86">
        <v>0.50539999999999996</v>
      </c>
      <c r="L225" s="83">
        <v>0.83599999999999997</v>
      </c>
      <c r="M225" s="81">
        <v>6.0000000000000001E-3</v>
      </c>
      <c r="N225" s="1" t="s">
        <v>528</v>
      </c>
      <c r="O225" s="82">
        <v>41845</v>
      </c>
      <c r="P225" s="1" t="s">
        <v>435</v>
      </c>
      <c r="Q225" s="1" t="s">
        <v>218</v>
      </c>
    </row>
    <row r="226" spans="1:17" x14ac:dyDescent="0.2">
      <c r="A226" s="1" t="s">
        <v>602</v>
      </c>
      <c r="B226" s="1">
        <v>515890</v>
      </c>
      <c r="C226" s="1">
        <v>1.2549999999999999</v>
      </c>
      <c r="D226" s="81">
        <v>6.4000000000000003E-3</v>
      </c>
      <c r="E226" s="81">
        <v>-3.2000000000000002E-3</v>
      </c>
      <c r="F226" s="85">
        <v>131.58000000000001</v>
      </c>
      <c r="G226" s="86">
        <v>5.2900000000000003E-2</v>
      </c>
      <c r="H226" s="86">
        <v>4.6699999999999998E-2</v>
      </c>
      <c r="I226" s="86" t="s">
        <v>157</v>
      </c>
      <c r="J226" s="86" t="s">
        <v>157</v>
      </c>
      <c r="K226" s="86" t="s">
        <v>157</v>
      </c>
      <c r="L226" s="83">
        <v>0.34100000000000003</v>
      </c>
      <c r="M226" s="81">
        <v>2E-3</v>
      </c>
      <c r="N226" s="1" t="s">
        <v>339</v>
      </c>
      <c r="O226" s="82">
        <v>43941</v>
      </c>
      <c r="P226" s="1" t="s">
        <v>266</v>
      </c>
      <c r="Q226" s="1" t="s">
        <v>240</v>
      </c>
    </row>
    <row r="227" spans="1:17" x14ac:dyDescent="0.2">
      <c r="A227" s="1" t="s">
        <v>603</v>
      </c>
      <c r="B227" s="1">
        <v>512900</v>
      </c>
      <c r="C227" s="1">
        <v>1.046</v>
      </c>
      <c r="D227" s="81">
        <v>1E-3</v>
      </c>
      <c r="E227" s="81">
        <v>-1E-3</v>
      </c>
      <c r="F227" s="85">
        <v>2955.81</v>
      </c>
      <c r="G227" s="86">
        <v>-6.8599999999999994E-2</v>
      </c>
      <c r="H227" s="86">
        <v>-0.1348</v>
      </c>
      <c r="I227" s="86">
        <v>3.2599999999999997E-2</v>
      </c>
      <c r="J227" s="86">
        <v>0.1779</v>
      </c>
      <c r="K227" s="86" t="s">
        <v>157</v>
      </c>
      <c r="L227" s="83">
        <v>67.62</v>
      </c>
      <c r="M227" s="81">
        <v>6.0000000000000001E-3</v>
      </c>
      <c r="N227" s="1" t="s">
        <v>196</v>
      </c>
      <c r="O227" s="82">
        <v>42825</v>
      </c>
      <c r="P227" s="1" t="s">
        <v>163</v>
      </c>
      <c r="Q227" s="1" t="s">
        <v>169</v>
      </c>
    </row>
    <row r="228" spans="1:17" x14ac:dyDescent="0.2">
      <c r="A228" s="1" t="s">
        <v>604</v>
      </c>
      <c r="B228" s="1">
        <v>512160</v>
      </c>
      <c r="C228" s="1">
        <v>1.643</v>
      </c>
      <c r="D228" s="81">
        <v>6.1000000000000004E-3</v>
      </c>
      <c r="E228" s="81">
        <v>-1.8E-3</v>
      </c>
      <c r="F228" s="85">
        <v>3541.37</v>
      </c>
      <c r="G228" s="86">
        <v>-0.12189999999999999</v>
      </c>
      <c r="H228" s="86">
        <v>-1.5599999999999999E-2</v>
      </c>
      <c r="I228" s="86">
        <v>0.39119999999999999</v>
      </c>
      <c r="J228" s="86" t="s">
        <v>157</v>
      </c>
      <c r="K228" s="86" t="s">
        <v>157</v>
      </c>
      <c r="L228" s="83">
        <v>8.51</v>
      </c>
      <c r="M228" s="81">
        <v>6.0000000000000001E-3</v>
      </c>
      <c r="N228" s="1" t="s">
        <v>427</v>
      </c>
      <c r="O228" s="82">
        <v>43217</v>
      </c>
      <c r="P228" s="1" t="s">
        <v>163</v>
      </c>
      <c r="Q228" s="1" t="s">
        <v>428</v>
      </c>
    </row>
    <row r="229" spans="1:17" x14ac:dyDescent="0.2">
      <c r="A229" s="1" t="s">
        <v>605</v>
      </c>
      <c r="B229" s="1">
        <v>515450</v>
      </c>
      <c r="C229" s="1">
        <v>1.208</v>
      </c>
      <c r="D229" s="81">
        <v>2.7199999999999998E-2</v>
      </c>
      <c r="E229" s="81">
        <v>3.3E-3</v>
      </c>
      <c r="F229" s="85">
        <v>649.69000000000005</v>
      </c>
      <c r="G229" s="86">
        <v>9.0300000000000005E-2</v>
      </c>
      <c r="H229" s="86">
        <v>0.10829999999999999</v>
      </c>
      <c r="I229" s="86">
        <v>0.20799999999999999</v>
      </c>
      <c r="J229" s="86" t="s">
        <v>157</v>
      </c>
      <c r="K229" s="86" t="s">
        <v>157</v>
      </c>
      <c r="L229" s="83">
        <v>6.93</v>
      </c>
      <c r="M229" s="81">
        <v>6.0000000000000001E-3</v>
      </c>
      <c r="N229" s="1" t="s">
        <v>606</v>
      </c>
      <c r="O229" s="82">
        <v>43887</v>
      </c>
      <c r="P229" s="1" t="s">
        <v>163</v>
      </c>
      <c r="Q229" s="1" t="s">
        <v>607</v>
      </c>
    </row>
    <row r="230" spans="1:17" x14ac:dyDescent="0.2">
      <c r="A230" s="1" t="s">
        <v>608</v>
      </c>
      <c r="B230" s="1">
        <v>512350</v>
      </c>
      <c r="C230" s="1">
        <v>1.085</v>
      </c>
      <c r="D230" s="81">
        <v>0</v>
      </c>
      <c r="E230" s="81">
        <v>2.9399999999999999E-2</v>
      </c>
      <c r="F230" s="85">
        <v>22.23</v>
      </c>
      <c r="G230" s="86">
        <v>-5.3199999999999997E-2</v>
      </c>
      <c r="H230" s="86">
        <v>1.12E-2</v>
      </c>
      <c r="I230" s="86" t="s">
        <v>157</v>
      </c>
      <c r="J230" s="86" t="s">
        <v>157</v>
      </c>
      <c r="K230" s="86" t="s">
        <v>157</v>
      </c>
      <c r="L230" s="83">
        <v>1.28</v>
      </c>
      <c r="M230" s="81">
        <v>6.0000000000000001E-3</v>
      </c>
      <c r="N230" s="1" t="s">
        <v>609</v>
      </c>
      <c r="O230" s="82">
        <v>44084</v>
      </c>
      <c r="P230" s="1" t="s">
        <v>493</v>
      </c>
      <c r="Q230" s="1" t="s">
        <v>610</v>
      </c>
    </row>
    <row r="231" spans="1:17" x14ac:dyDescent="0.2">
      <c r="A231" s="1" t="s">
        <v>611</v>
      </c>
      <c r="B231" s="1">
        <v>512510</v>
      </c>
      <c r="C231" s="1">
        <v>1.4990000000000001</v>
      </c>
      <c r="D231" s="81">
        <v>2.7000000000000001E-3</v>
      </c>
      <c r="E231" s="81">
        <v>-6.9999999999999999E-4</v>
      </c>
      <c r="F231" s="85">
        <v>1096.3699999999999</v>
      </c>
      <c r="G231" s="86">
        <v>-4.58E-2</v>
      </c>
      <c r="H231" s="86">
        <v>-1.4500000000000001E-2</v>
      </c>
      <c r="I231" s="86">
        <v>0.2011</v>
      </c>
      <c r="J231" s="86">
        <v>0.1638</v>
      </c>
      <c r="K231" s="86">
        <v>0.3881</v>
      </c>
      <c r="L231" s="83">
        <v>5.47</v>
      </c>
      <c r="M231" s="81">
        <v>2E-3</v>
      </c>
      <c r="N231" s="1" t="s">
        <v>205</v>
      </c>
      <c r="O231" s="82">
        <v>42167</v>
      </c>
      <c r="P231" s="1" t="s">
        <v>154</v>
      </c>
      <c r="Q231" s="1" t="s">
        <v>167</v>
      </c>
    </row>
    <row r="232" spans="1:17" x14ac:dyDescent="0.2">
      <c r="A232" s="1" t="s">
        <v>612</v>
      </c>
      <c r="B232" s="1">
        <v>512820</v>
      </c>
      <c r="C232" s="1">
        <v>1.288</v>
      </c>
      <c r="D232" s="81">
        <v>1.0999999999999999E-2</v>
      </c>
      <c r="E232" s="81">
        <v>0</v>
      </c>
      <c r="F232" s="85">
        <v>669.74</v>
      </c>
      <c r="G232" s="86">
        <v>-1.0800000000000001E-2</v>
      </c>
      <c r="H232" s="86">
        <v>0.1103</v>
      </c>
      <c r="I232" s="86">
        <v>0.21390000000000001</v>
      </c>
      <c r="J232" s="86" t="s">
        <v>157</v>
      </c>
      <c r="K232" s="86" t="s">
        <v>157</v>
      </c>
      <c r="L232" s="83">
        <v>4.51</v>
      </c>
      <c r="M232" s="81">
        <v>6.0000000000000001E-3</v>
      </c>
      <c r="N232" s="1" t="s">
        <v>213</v>
      </c>
      <c r="O232" s="82">
        <v>43427</v>
      </c>
      <c r="P232" s="1" t="s">
        <v>173</v>
      </c>
      <c r="Q232" s="1" t="s">
        <v>214</v>
      </c>
    </row>
    <row r="233" spans="1:17" x14ac:dyDescent="0.2">
      <c r="A233" s="1" t="s">
        <v>613</v>
      </c>
      <c r="B233" s="1">
        <v>513800</v>
      </c>
      <c r="C233" s="1">
        <v>1.1870000000000001</v>
      </c>
      <c r="D233" s="81">
        <v>9.4000000000000004E-3</v>
      </c>
      <c r="E233" s="81">
        <v>-1.41E-2</v>
      </c>
      <c r="F233" s="85">
        <v>2.78</v>
      </c>
      <c r="G233" s="86">
        <v>-1.66E-2</v>
      </c>
      <c r="H233" s="86">
        <v>1.4500000000000001E-2</v>
      </c>
      <c r="I233" s="86">
        <v>0.26679999999999998</v>
      </c>
      <c r="J233" s="86" t="s">
        <v>157</v>
      </c>
      <c r="K233" s="86" t="s">
        <v>157</v>
      </c>
      <c r="L233" s="83">
        <v>0.60399999999999998</v>
      </c>
      <c r="M233" s="81">
        <v>2.5000000000000001E-3</v>
      </c>
      <c r="N233" s="1" t="s">
        <v>614</v>
      </c>
      <c r="O233" s="82">
        <v>43641</v>
      </c>
      <c r="P233" s="1" t="s">
        <v>163</v>
      </c>
      <c r="Q233" s="1" t="s">
        <v>526</v>
      </c>
    </row>
    <row r="234" spans="1:17" x14ac:dyDescent="0.2">
      <c r="A234" s="1" t="s">
        <v>102</v>
      </c>
      <c r="B234" s="1">
        <v>159954</v>
      </c>
      <c r="C234" s="1">
        <v>1.0409999999999999</v>
      </c>
      <c r="D234" s="81">
        <v>1.9E-3</v>
      </c>
      <c r="E234" s="81">
        <v>-1.9E-3</v>
      </c>
      <c r="F234" s="85">
        <v>1770.72</v>
      </c>
      <c r="G234" s="86">
        <v>-2.53E-2</v>
      </c>
      <c r="H234" s="86">
        <v>6.88E-2</v>
      </c>
      <c r="I234" s="86">
        <v>9.69E-2</v>
      </c>
      <c r="J234" s="86" t="s">
        <v>157</v>
      </c>
      <c r="K234" s="86" t="s">
        <v>157</v>
      </c>
      <c r="L234" s="83">
        <v>2.2599999999999998</v>
      </c>
      <c r="M234" s="81">
        <v>6.0000000000000001E-3</v>
      </c>
      <c r="N234" s="1" t="s">
        <v>304</v>
      </c>
      <c r="O234" s="82">
        <v>43174</v>
      </c>
      <c r="P234" s="1" t="s">
        <v>163</v>
      </c>
      <c r="Q234" s="1" t="s">
        <v>305</v>
      </c>
    </row>
    <row r="235" spans="1:17" x14ac:dyDescent="0.2">
      <c r="A235" s="1" t="s">
        <v>615</v>
      </c>
      <c r="B235" s="1">
        <v>159955</v>
      </c>
      <c r="C235" s="1">
        <v>1.484</v>
      </c>
      <c r="D235" s="81">
        <v>4.1000000000000003E-3</v>
      </c>
      <c r="E235" s="81">
        <v>-2E-3</v>
      </c>
      <c r="F235" s="85">
        <v>346.68</v>
      </c>
      <c r="G235" s="86">
        <v>-0.19520000000000001</v>
      </c>
      <c r="H235" s="86">
        <v>-7.2499999999999995E-2</v>
      </c>
      <c r="I235" s="86">
        <v>0.31440000000000001</v>
      </c>
      <c r="J235" s="86">
        <v>0.46929999999999999</v>
      </c>
      <c r="K235" s="86" t="s">
        <v>157</v>
      </c>
      <c r="L235" s="83">
        <v>0.186</v>
      </c>
      <c r="M235" s="81">
        <v>6.0000000000000001E-3</v>
      </c>
      <c r="N235" s="1" t="s">
        <v>215</v>
      </c>
      <c r="O235" s="82">
        <v>42970</v>
      </c>
      <c r="P235" s="1" t="s">
        <v>435</v>
      </c>
      <c r="Q235" s="1" t="s">
        <v>167</v>
      </c>
    </row>
    <row r="236" spans="1:17" x14ac:dyDescent="0.2">
      <c r="A236" s="1" t="s">
        <v>616</v>
      </c>
      <c r="B236" s="1">
        <v>159925</v>
      </c>
      <c r="C236" s="1">
        <v>2.41</v>
      </c>
      <c r="D236" s="81">
        <v>4.1999999999999997E-3</v>
      </c>
      <c r="E236" s="81">
        <v>-4.0000000000000002E-4</v>
      </c>
      <c r="F236" s="85">
        <v>648.91999999999996</v>
      </c>
      <c r="G236" s="86">
        <v>-0.1114</v>
      </c>
      <c r="H236" s="86">
        <v>-9.4999999999999998E-3</v>
      </c>
      <c r="I236" s="86">
        <v>0.35170000000000001</v>
      </c>
      <c r="J236" s="86">
        <v>0.40939999999999999</v>
      </c>
      <c r="K236" s="86">
        <v>1.0441</v>
      </c>
      <c r="L236" s="83">
        <v>15.54</v>
      </c>
      <c r="M236" s="81">
        <v>6.0000000000000001E-3</v>
      </c>
      <c r="N236" s="1" t="s">
        <v>190</v>
      </c>
      <c r="O236" s="82">
        <v>41375</v>
      </c>
      <c r="P236" s="1" t="s">
        <v>163</v>
      </c>
      <c r="Q236" s="1" t="s">
        <v>155</v>
      </c>
    </row>
    <row r="237" spans="1:17" x14ac:dyDescent="0.2">
      <c r="A237" s="1" t="s">
        <v>617</v>
      </c>
      <c r="B237" s="1">
        <v>159808</v>
      </c>
      <c r="C237" s="1">
        <v>1.03</v>
      </c>
      <c r="D237" s="81">
        <v>2.8999999999999998E-3</v>
      </c>
      <c r="E237" s="81">
        <v>-1.9E-3</v>
      </c>
      <c r="F237" s="85">
        <v>521.77</v>
      </c>
      <c r="G237" s="86">
        <v>-0.19220000000000001</v>
      </c>
      <c r="H237" s="86">
        <v>-7.0400000000000004E-2</v>
      </c>
      <c r="I237" s="86" t="s">
        <v>157</v>
      </c>
      <c r="J237" s="86" t="s">
        <v>157</v>
      </c>
      <c r="K237" s="86" t="s">
        <v>157</v>
      </c>
      <c r="L237" s="83">
        <v>2.33</v>
      </c>
      <c r="M237" s="81">
        <v>4.0000000000000001E-3</v>
      </c>
      <c r="N237" s="1" t="s">
        <v>618</v>
      </c>
      <c r="O237" s="82">
        <v>44078</v>
      </c>
      <c r="P237" s="1" t="s">
        <v>619</v>
      </c>
      <c r="Q237" s="1" t="s">
        <v>167</v>
      </c>
    </row>
    <row r="238" spans="1:17" x14ac:dyDescent="0.2">
      <c r="A238" s="1" t="s">
        <v>620</v>
      </c>
      <c r="B238" s="1">
        <v>159932</v>
      </c>
      <c r="C238" s="1">
        <v>1.7250000000000001</v>
      </c>
      <c r="D238" s="81">
        <v>-5.9999999999999995E-4</v>
      </c>
      <c r="E238" s="81">
        <v>-4.0000000000000001E-3</v>
      </c>
      <c r="F238" s="85">
        <v>47.41</v>
      </c>
      <c r="G238" s="86">
        <v>-2.4899999999999999E-2</v>
      </c>
      <c r="H238" s="86">
        <v>-2.0400000000000001E-2</v>
      </c>
      <c r="I238" s="86">
        <v>7.8100000000000003E-2</v>
      </c>
      <c r="J238" s="86">
        <v>1.47E-2</v>
      </c>
      <c r="K238" s="86">
        <v>9.3200000000000005E-2</v>
      </c>
      <c r="L238" s="83">
        <v>0.38200000000000001</v>
      </c>
      <c r="M238" s="81">
        <v>6.0000000000000001E-3</v>
      </c>
      <c r="N238" s="1" t="s">
        <v>621</v>
      </c>
      <c r="O238" s="82">
        <v>41568</v>
      </c>
      <c r="P238" s="1" t="s">
        <v>358</v>
      </c>
      <c r="Q238" s="1" t="s">
        <v>167</v>
      </c>
    </row>
    <row r="239" spans="1:17" x14ac:dyDescent="0.2">
      <c r="A239" s="1" t="s">
        <v>622</v>
      </c>
      <c r="B239" s="1">
        <v>510660</v>
      </c>
      <c r="C239" s="1">
        <v>3.0059999999999998</v>
      </c>
      <c r="D239" s="81">
        <v>1.6999999999999999E-3</v>
      </c>
      <c r="E239" s="81">
        <v>-6.9999999999999999E-4</v>
      </c>
      <c r="F239" s="85">
        <v>359.72</v>
      </c>
      <c r="G239" s="86">
        <v>-0.18229999999999999</v>
      </c>
      <c r="H239" s="86">
        <v>-7.51E-2</v>
      </c>
      <c r="I239" s="86">
        <v>0.4355</v>
      </c>
      <c r="J239" s="86">
        <v>0.54069999999999996</v>
      </c>
      <c r="K239" s="86">
        <v>1.3466</v>
      </c>
      <c r="L239" s="83">
        <v>1.18</v>
      </c>
      <c r="M239" s="81">
        <v>6.0000000000000001E-3</v>
      </c>
      <c r="N239" s="1" t="s">
        <v>623</v>
      </c>
      <c r="O239" s="82">
        <v>41402</v>
      </c>
      <c r="P239" s="1" t="s">
        <v>171</v>
      </c>
      <c r="Q239" s="1" t="s">
        <v>201</v>
      </c>
    </row>
    <row r="240" spans="1:17" x14ac:dyDescent="0.2">
      <c r="A240" s="1" t="s">
        <v>624</v>
      </c>
      <c r="B240" s="1">
        <v>159909</v>
      </c>
      <c r="C240" s="1">
        <v>0.70299999999999996</v>
      </c>
      <c r="D240" s="81">
        <v>-5.7000000000000002E-3</v>
      </c>
      <c r="E240" s="81">
        <v>-2.8E-3</v>
      </c>
      <c r="F240" s="85">
        <v>44.49</v>
      </c>
      <c r="G240" s="86">
        <v>-0.1245</v>
      </c>
      <c r="H240" s="86">
        <v>-4.65E-2</v>
      </c>
      <c r="I240" s="86">
        <v>0.14180000000000001</v>
      </c>
      <c r="J240" s="86">
        <v>0.2429</v>
      </c>
      <c r="K240" s="86">
        <v>0.33450000000000002</v>
      </c>
      <c r="L240" s="83">
        <v>2.64</v>
      </c>
      <c r="M240" s="81">
        <v>6.0000000000000001E-3</v>
      </c>
      <c r="N240" s="1" t="s">
        <v>625</v>
      </c>
      <c r="O240" s="82">
        <v>40787</v>
      </c>
      <c r="P240" s="1" t="s">
        <v>361</v>
      </c>
      <c r="Q240" s="1" t="s">
        <v>626</v>
      </c>
    </row>
    <row r="241" spans="1:17" x14ac:dyDescent="0.2">
      <c r="A241" s="1" t="s">
        <v>627</v>
      </c>
      <c r="B241" s="1">
        <v>515390</v>
      </c>
      <c r="C241" s="1">
        <v>1.2829999999999999</v>
      </c>
      <c r="D241" s="81">
        <v>1.6000000000000001E-3</v>
      </c>
      <c r="E241" s="81">
        <v>-3.0999999999999999E-3</v>
      </c>
      <c r="F241" s="85">
        <v>3608.32</v>
      </c>
      <c r="G241" s="86">
        <v>-0.1158</v>
      </c>
      <c r="H241" s="86">
        <v>-0.01</v>
      </c>
      <c r="I241" s="86">
        <v>0.31590000000000001</v>
      </c>
      <c r="J241" s="86" t="s">
        <v>157</v>
      </c>
      <c r="K241" s="86" t="s">
        <v>157</v>
      </c>
      <c r="L241" s="83">
        <v>5.63</v>
      </c>
      <c r="M241" s="81">
        <v>2E-3</v>
      </c>
      <c r="N241" s="1" t="s">
        <v>190</v>
      </c>
      <c r="O241" s="82">
        <v>43840</v>
      </c>
      <c r="P241" s="1" t="s">
        <v>166</v>
      </c>
      <c r="Q241" s="1" t="s">
        <v>155</v>
      </c>
    </row>
    <row r="242" spans="1:17" x14ac:dyDescent="0.2">
      <c r="A242" s="1" t="s">
        <v>90</v>
      </c>
      <c r="B242" s="1">
        <v>512150</v>
      </c>
      <c r="C242" s="1">
        <v>1.82</v>
      </c>
      <c r="D242" s="81">
        <v>3.8999999999999998E-3</v>
      </c>
      <c r="E242" s="81">
        <v>-5.0000000000000001E-4</v>
      </c>
      <c r="F242" s="85">
        <v>537.33000000000004</v>
      </c>
      <c r="G242" s="86">
        <v>-0.1195</v>
      </c>
      <c r="H242" s="86">
        <v>-1.1900000000000001E-2</v>
      </c>
      <c r="I242" s="86">
        <v>0.4022</v>
      </c>
      <c r="J242" s="86" t="s">
        <v>157</v>
      </c>
      <c r="K242" s="86" t="s">
        <v>157</v>
      </c>
      <c r="L242" s="83">
        <v>0.40600000000000003</v>
      </c>
      <c r="M242" s="81">
        <v>6.0000000000000001E-3</v>
      </c>
      <c r="N242" s="1" t="s">
        <v>628</v>
      </c>
      <c r="O242" s="82">
        <v>43486</v>
      </c>
      <c r="P242" s="1" t="s">
        <v>629</v>
      </c>
      <c r="Q242" s="1" t="s">
        <v>155</v>
      </c>
    </row>
    <row r="243" spans="1:17" x14ac:dyDescent="0.2">
      <c r="A243" s="1" t="s">
        <v>630</v>
      </c>
      <c r="B243" s="1">
        <v>512550</v>
      </c>
      <c r="C243" s="1">
        <v>1.7749999999999999</v>
      </c>
      <c r="D243" s="81">
        <v>6.1999999999999998E-3</v>
      </c>
      <c r="E243" s="81">
        <v>0</v>
      </c>
      <c r="F243" s="85">
        <v>556.76</v>
      </c>
      <c r="G243" s="86">
        <v>-0.1222</v>
      </c>
      <c r="H243" s="86">
        <v>1.6999999999999999E-3</v>
      </c>
      <c r="I243" s="86">
        <v>0.41770000000000002</v>
      </c>
      <c r="J243" s="86">
        <v>0.55840000000000001</v>
      </c>
      <c r="K243" s="86" t="s">
        <v>157</v>
      </c>
      <c r="L243" s="83">
        <v>1.22</v>
      </c>
      <c r="M243" s="81">
        <v>6.0000000000000001E-3</v>
      </c>
      <c r="N243" s="1" t="s">
        <v>628</v>
      </c>
      <c r="O243" s="82">
        <v>42954</v>
      </c>
      <c r="P243" s="1" t="s">
        <v>435</v>
      </c>
      <c r="Q243" s="1" t="s">
        <v>155</v>
      </c>
    </row>
    <row r="244" spans="1:17" x14ac:dyDescent="0.2">
      <c r="A244" s="1" t="s">
        <v>631</v>
      </c>
      <c r="B244" s="1">
        <v>513000</v>
      </c>
      <c r="C244" s="1">
        <v>1.306</v>
      </c>
      <c r="D244" s="81">
        <v>1.1599999999999999E-2</v>
      </c>
      <c r="E244" s="81">
        <v>-3.8E-3</v>
      </c>
      <c r="F244" s="85">
        <v>481.86</v>
      </c>
      <c r="G244" s="86">
        <v>-3.1899999999999998E-2</v>
      </c>
      <c r="H244" s="86">
        <v>1.7100000000000001E-2</v>
      </c>
      <c r="I244" s="86">
        <v>0.35620000000000002</v>
      </c>
      <c r="J244" s="86" t="s">
        <v>157</v>
      </c>
      <c r="K244" s="86" t="s">
        <v>157</v>
      </c>
      <c r="L244" s="83">
        <v>0.66</v>
      </c>
      <c r="M244" s="81">
        <v>2.5000000000000001E-3</v>
      </c>
      <c r="N244" s="1" t="s">
        <v>525</v>
      </c>
      <c r="O244" s="82">
        <v>43641</v>
      </c>
      <c r="P244" s="1" t="s">
        <v>208</v>
      </c>
      <c r="Q244" s="1" t="s">
        <v>526</v>
      </c>
    </row>
    <row r="245" spans="1:17" x14ac:dyDescent="0.2">
      <c r="A245" s="1" t="s">
        <v>632</v>
      </c>
      <c r="B245" s="1">
        <v>516080</v>
      </c>
      <c r="C245" s="1">
        <v>0.879</v>
      </c>
      <c r="D245" s="81">
        <v>2.3E-3</v>
      </c>
      <c r="E245" s="81">
        <v>1.1000000000000001E-3</v>
      </c>
      <c r="F245" s="85">
        <v>1464.52</v>
      </c>
      <c r="G245" s="86" t="s">
        <v>157</v>
      </c>
      <c r="H245" s="86" t="s">
        <v>157</v>
      </c>
      <c r="I245" s="86" t="s">
        <v>157</v>
      </c>
      <c r="J245" s="86" t="s">
        <v>157</v>
      </c>
      <c r="K245" s="86" t="s">
        <v>157</v>
      </c>
      <c r="L245" s="83">
        <v>5.63</v>
      </c>
      <c r="M245" s="81">
        <v>2E-3</v>
      </c>
      <c r="N245" s="1" t="s">
        <v>248</v>
      </c>
      <c r="O245" s="82">
        <v>44250</v>
      </c>
      <c r="P245" s="1" t="s">
        <v>208</v>
      </c>
      <c r="Q245" s="1" t="s">
        <v>201</v>
      </c>
    </row>
    <row r="246" spans="1:17" x14ac:dyDescent="0.2">
      <c r="A246" s="1" t="s">
        <v>633</v>
      </c>
      <c r="B246" s="1">
        <v>513680</v>
      </c>
      <c r="C246" s="1">
        <v>1.008</v>
      </c>
      <c r="D246" s="81">
        <v>3.0000000000000001E-3</v>
      </c>
      <c r="E246" s="81">
        <v>-2E-3</v>
      </c>
      <c r="F246" s="85">
        <v>152.97999999999999</v>
      </c>
      <c r="G246" s="86">
        <v>-1.5599999999999999E-2</v>
      </c>
      <c r="H246" s="86">
        <v>6.6699999999999995E-2</v>
      </c>
      <c r="I246" s="86">
        <v>0.1114</v>
      </c>
      <c r="J246" s="86" t="s">
        <v>157</v>
      </c>
      <c r="K246" s="86" t="s">
        <v>157</v>
      </c>
      <c r="L246" s="83">
        <v>0.246</v>
      </c>
      <c r="M246" s="81">
        <v>6.0000000000000001E-3</v>
      </c>
      <c r="N246" s="1" t="s">
        <v>304</v>
      </c>
      <c r="O246" s="82">
        <v>43486</v>
      </c>
      <c r="P246" s="1" t="s">
        <v>327</v>
      </c>
      <c r="Q246" s="1" t="s">
        <v>305</v>
      </c>
    </row>
    <row r="247" spans="1:17" x14ac:dyDescent="0.2">
      <c r="A247" s="1" t="s">
        <v>634</v>
      </c>
      <c r="B247" s="1">
        <v>515070</v>
      </c>
      <c r="C247" s="1">
        <v>1.1100000000000001</v>
      </c>
      <c r="D247" s="81">
        <v>-1.2500000000000001E-2</v>
      </c>
      <c r="E247" s="81">
        <v>8.9999999999999998E-4</v>
      </c>
      <c r="F247" s="85">
        <v>1607.25</v>
      </c>
      <c r="G247" s="86">
        <v>-8.1100000000000005E-2</v>
      </c>
      <c r="H247" s="86">
        <v>-7.7299999999999994E-2</v>
      </c>
      <c r="I247" s="86">
        <v>-6.9599999999999995E-2</v>
      </c>
      <c r="J247" s="86" t="s">
        <v>157</v>
      </c>
      <c r="K247" s="86" t="s">
        <v>157</v>
      </c>
      <c r="L247" s="83">
        <v>14.93</v>
      </c>
      <c r="M247" s="81">
        <v>6.0000000000000001E-3</v>
      </c>
      <c r="N247" s="1" t="s">
        <v>369</v>
      </c>
      <c r="O247" s="82">
        <v>43823</v>
      </c>
      <c r="P247" s="1" t="s">
        <v>171</v>
      </c>
      <c r="Q247" s="1" t="s">
        <v>345</v>
      </c>
    </row>
    <row r="248" spans="1:17" x14ac:dyDescent="0.2">
      <c r="A248" s="1" t="s">
        <v>635</v>
      </c>
      <c r="B248" s="1">
        <v>510130</v>
      </c>
      <c r="C248" s="1">
        <v>5.57</v>
      </c>
      <c r="D248" s="81">
        <v>2.3E-2</v>
      </c>
      <c r="E248" s="81">
        <v>3.2000000000000002E-3</v>
      </c>
      <c r="F248" s="85">
        <v>182.99</v>
      </c>
      <c r="G248" s="86">
        <v>-5.1299999999999998E-2</v>
      </c>
      <c r="H248" s="86">
        <v>1.29E-2</v>
      </c>
      <c r="I248" s="86">
        <v>0.35160000000000002</v>
      </c>
      <c r="J248" s="86">
        <v>0.38390000000000002</v>
      </c>
      <c r="K248" s="86">
        <v>0.81969999999999998</v>
      </c>
      <c r="L248" s="83">
        <v>2.4300000000000002</v>
      </c>
      <c r="M248" s="81">
        <v>6.0000000000000001E-3</v>
      </c>
      <c r="N248" s="1" t="s">
        <v>636</v>
      </c>
      <c r="O248" s="82">
        <v>40352</v>
      </c>
      <c r="P248" s="1" t="s">
        <v>208</v>
      </c>
      <c r="Q248" s="1" t="s">
        <v>155</v>
      </c>
    </row>
    <row r="249" spans="1:17" x14ac:dyDescent="0.2">
      <c r="A249" s="1" t="s">
        <v>109</v>
      </c>
      <c r="B249" s="1">
        <v>159823</v>
      </c>
      <c r="C249" s="1">
        <v>1.073</v>
      </c>
      <c r="D249" s="81">
        <v>8.9999999999999998E-4</v>
      </c>
      <c r="E249" s="81">
        <v>-3.7000000000000002E-3</v>
      </c>
      <c r="F249" s="85">
        <v>1266.3499999999999</v>
      </c>
      <c r="G249" s="86">
        <v>-3.5099999999999999E-2</v>
      </c>
      <c r="H249" s="86">
        <v>3.9699999999999999E-2</v>
      </c>
      <c r="I249" s="86" t="s">
        <v>157</v>
      </c>
      <c r="J249" s="86" t="s">
        <v>157</v>
      </c>
      <c r="K249" s="86" t="s">
        <v>157</v>
      </c>
      <c r="L249" s="83">
        <v>0.96199999999999997</v>
      </c>
      <c r="M249" s="81">
        <v>2E-3</v>
      </c>
      <c r="N249" s="1" t="s">
        <v>304</v>
      </c>
      <c r="O249" s="82">
        <v>44127</v>
      </c>
      <c r="P249" s="1" t="s">
        <v>435</v>
      </c>
      <c r="Q249" s="1" t="s">
        <v>305</v>
      </c>
    </row>
    <row r="250" spans="1:17" x14ac:dyDescent="0.2">
      <c r="A250" s="1" t="s">
        <v>637</v>
      </c>
      <c r="B250" s="1">
        <v>515100</v>
      </c>
      <c r="C250" s="1">
        <v>1.3</v>
      </c>
      <c r="D250" s="81">
        <v>1.09E-2</v>
      </c>
      <c r="E250" s="81">
        <v>-8.0000000000000004E-4</v>
      </c>
      <c r="F250" s="85">
        <v>212.79</v>
      </c>
      <c r="G250" s="86">
        <v>9.4299999999999995E-2</v>
      </c>
      <c r="H250" s="86">
        <v>8.6999999999999994E-2</v>
      </c>
      <c r="I250" s="86" t="s">
        <v>157</v>
      </c>
      <c r="J250" s="86" t="s">
        <v>157</v>
      </c>
      <c r="K250" s="86" t="s">
        <v>157</v>
      </c>
      <c r="L250" s="83">
        <v>1.28</v>
      </c>
      <c r="M250" s="81">
        <v>6.0000000000000001E-3</v>
      </c>
      <c r="N250" s="1" t="s">
        <v>638</v>
      </c>
      <c r="O250" s="82">
        <v>44015</v>
      </c>
      <c r="P250" s="1" t="s">
        <v>639</v>
      </c>
      <c r="Q250" s="1" t="s">
        <v>607</v>
      </c>
    </row>
    <row r="251" spans="1:17" x14ac:dyDescent="0.2">
      <c r="A251" s="1" t="s">
        <v>640</v>
      </c>
      <c r="B251" s="1">
        <v>159906</v>
      </c>
      <c r="C251" s="1">
        <v>1.492</v>
      </c>
      <c r="D251" s="81">
        <v>3.3999999999999998E-3</v>
      </c>
      <c r="E251" s="81">
        <v>-1.2999999999999999E-3</v>
      </c>
      <c r="F251" s="85">
        <v>303.99</v>
      </c>
      <c r="G251" s="86">
        <v>-0.1716</v>
      </c>
      <c r="H251" s="86">
        <v>-4.5400000000000003E-2</v>
      </c>
      <c r="I251" s="86">
        <v>0.2392</v>
      </c>
      <c r="J251" s="86">
        <v>0.40889999999999999</v>
      </c>
      <c r="K251" s="86">
        <v>0.68210000000000004</v>
      </c>
      <c r="L251" s="83">
        <v>2.13</v>
      </c>
      <c r="M251" s="81">
        <v>6.0000000000000001E-3</v>
      </c>
      <c r="N251" s="1" t="s">
        <v>641</v>
      </c>
      <c r="O251" s="82">
        <v>40597</v>
      </c>
      <c r="P251" s="1" t="s">
        <v>358</v>
      </c>
      <c r="Q251" s="1" t="s">
        <v>595</v>
      </c>
    </row>
    <row r="252" spans="1:17" x14ac:dyDescent="0.2">
      <c r="A252" s="1" t="s">
        <v>642</v>
      </c>
      <c r="B252" s="1">
        <v>518800</v>
      </c>
      <c r="C252" s="1">
        <v>3.49</v>
      </c>
      <c r="D252" s="81">
        <v>-1.38E-2</v>
      </c>
      <c r="E252" s="81">
        <v>-5.9999999999999995E-4</v>
      </c>
      <c r="F252" s="85">
        <v>18136.8</v>
      </c>
      <c r="G252" s="86">
        <v>-6.1600000000000002E-2</v>
      </c>
      <c r="H252" s="86">
        <v>-8.4500000000000006E-2</v>
      </c>
      <c r="I252" s="86">
        <v>-3.4000000000000002E-2</v>
      </c>
      <c r="J252" s="86">
        <v>0.30320000000000003</v>
      </c>
      <c r="K252" s="86">
        <v>0.32650000000000001</v>
      </c>
      <c r="L252" s="83">
        <v>5.92</v>
      </c>
      <c r="M252" s="81">
        <v>6.0000000000000001E-3</v>
      </c>
      <c r="N252" s="1" t="s">
        <v>228</v>
      </c>
      <c r="O252" s="82">
        <v>41484</v>
      </c>
      <c r="P252" s="1" t="s">
        <v>158</v>
      </c>
      <c r="Q252" s="1" t="s">
        <v>229</v>
      </c>
    </row>
    <row r="253" spans="1:17" x14ac:dyDescent="0.2">
      <c r="A253" s="1" t="s">
        <v>643</v>
      </c>
      <c r="B253" s="1">
        <v>515860</v>
      </c>
      <c r="C253" s="1">
        <v>1.359</v>
      </c>
      <c r="D253" s="81">
        <v>-1.3100000000000001E-2</v>
      </c>
      <c r="E253" s="81">
        <v>-1.5E-3</v>
      </c>
      <c r="F253" s="85">
        <v>681.37</v>
      </c>
      <c r="G253" s="86">
        <v>-0.10299999999999999</v>
      </c>
      <c r="H253" s="86">
        <v>-6.3399999999999998E-2</v>
      </c>
      <c r="I253" s="86">
        <v>7.9399999999999998E-2</v>
      </c>
      <c r="J253" s="86" t="s">
        <v>157</v>
      </c>
      <c r="K253" s="86" t="s">
        <v>157</v>
      </c>
      <c r="L253" s="83">
        <v>5.55</v>
      </c>
      <c r="M253" s="81">
        <v>6.0000000000000001E-3</v>
      </c>
      <c r="N253" s="1" t="s">
        <v>644</v>
      </c>
      <c r="O253" s="82">
        <v>43760</v>
      </c>
      <c r="P253" s="1" t="s">
        <v>435</v>
      </c>
      <c r="Q253" s="1" t="s">
        <v>259</v>
      </c>
    </row>
    <row r="254" spans="1:17" x14ac:dyDescent="0.2">
      <c r="A254" s="1" t="s">
        <v>645</v>
      </c>
      <c r="B254" s="1">
        <v>515300</v>
      </c>
      <c r="C254" s="1">
        <v>1.1659999999999999</v>
      </c>
      <c r="D254" s="81">
        <v>1.5699999999999999E-2</v>
      </c>
      <c r="E254" s="81">
        <v>-8.9999999999999998E-4</v>
      </c>
      <c r="F254" s="85">
        <v>179.92</v>
      </c>
      <c r="G254" s="86">
        <v>4.48E-2</v>
      </c>
      <c r="H254" s="86">
        <v>7.6600000000000001E-2</v>
      </c>
      <c r="I254" s="86">
        <v>0.18260000000000001</v>
      </c>
      <c r="J254" s="86" t="s">
        <v>157</v>
      </c>
      <c r="K254" s="86" t="s">
        <v>157</v>
      </c>
      <c r="L254" s="83">
        <v>0.71599999999999997</v>
      </c>
      <c r="M254" s="81">
        <v>6.0000000000000001E-3</v>
      </c>
      <c r="N254" s="1" t="s">
        <v>646</v>
      </c>
      <c r="O254" s="82">
        <v>43727</v>
      </c>
      <c r="P254" s="1" t="s">
        <v>435</v>
      </c>
      <c r="Q254" s="1" t="s">
        <v>647</v>
      </c>
    </row>
    <row r="255" spans="1:17" x14ac:dyDescent="0.2">
      <c r="A255" s="1" t="s">
        <v>648</v>
      </c>
      <c r="B255" s="1">
        <v>159935</v>
      </c>
      <c r="C255" s="1">
        <v>1.8380000000000001</v>
      </c>
      <c r="D255" s="81">
        <v>0</v>
      </c>
      <c r="E255" s="81">
        <v>-4.3E-3</v>
      </c>
      <c r="F255" s="85">
        <v>9.65</v>
      </c>
      <c r="G255" s="86">
        <v>-4.1700000000000001E-2</v>
      </c>
      <c r="H255" s="86">
        <v>-3.5200000000000002E-2</v>
      </c>
      <c r="I255" s="86">
        <v>0.1782</v>
      </c>
      <c r="J255" s="86">
        <v>0.129</v>
      </c>
      <c r="K255" s="86">
        <v>0.26150000000000001</v>
      </c>
      <c r="L255" s="83">
        <v>0.76600000000000001</v>
      </c>
      <c r="M255" s="81">
        <v>6.0000000000000001E-3</v>
      </c>
      <c r="N255" s="1" t="s">
        <v>205</v>
      </c>
      <c r="O255" s="82">
        <v>41660</v>
      </c>
      <c r="P255" s="1" t="s">
        <v>639</v>
      </c>
      <c r="Q255" s="1" t="s">
        <v>167</v>
      </c>
    </row>
    <row r="256" spans="1:17" x14ac:dyDescent="0.2">
      <c r="A256" s="1" t="s">
        <v>649</v>
      </c>
      <c r="B256" s="1">
        <v>510330</v>
      </c>
      <c r="C256" s="1">
        <v>5.1420000000000003</v>
      </c>
      <c r="D256" s="81">
        <v>2.7000000000000001E-3</v>
      </c>
      <c r="E256" s="81">
        <v>-1E-3</v>
      </c>
      <c r="F256" s="85">
        <v>74264.75</v>
      </c>
      <c r="G256" s="86">
        <v>-0.1159</v>
      </c>
      <c r="H256" s="86">
        <v>-1.54E-2</v>
      </c>
      <c r="I256" s="86">
        <v>0.30170000000000002</v>
      </c>
      <c r="J256" s="86">
        <v>0.31840000000000002</v>
      </c>
      <c r="K256" s="86">
        <v>0.87080000000000002</v>
      </c>
      <c r="L256" s="83">
        <v>305.88</v>
      </c>
      <c r="M256" s="81">
        <v>6.0000000000000001E-3</v>
      </c>
      <c r="N256" s="1" t="s">
        <v>190</v>
      </c>
      <c r="O256" s="82">
        <v>41290</v>
      </c>
      <c r="P256" s="1" t="s">
        <v>171</v>
      </c>
      <c r="Q256" s="1" t="s">
        <v>155</v>
      </c>
    </row>
    <row r="257" spans="1:17" x14ac:dyDescent="0.2">
      <c r="A257" s="1" t="s">
        <v>650</v>
      </c>
      <c r="B257" s="1">
        <v>515380</v>
      </c>
      <c r="C257" s="1">
        <v>5.2370000000000001</v>
      </c>
      <c r="D257" s="81">
        <v>2.8999999999999998E-3</v>
      </c>
      <c r="E257" s="81">
        <v>-2.0999999999999999E-3</v>
      </c>
      <c r="F257" s="85">
        <v>22236.43</v>
      </c>
      <c r="G257" s="86">
        <v>-0.11609999999999999</v>
      </c>
      <c r="H257" s="86">
        <v>-1.3899999999999999E-2</v>
      </c>
      <c r="I257" s="86" t="s">
        <v>157</v>
      </c>
      <c r="J257" s="86" t="s">
        <v>157</v>
      </c>
      <c r="K257" s="86" t="s">
        <v>157</v>
      </c>
      <c r="L257" s="83">
        <v>72.37</v>
      </c>
      <c r="M257" s="81">
        <v>4.4999999999999997E-3</v>
      </c>
      <c r="N257" s="1" t="s">
        <v>190</v>
      </c>
      <c r="O257" s="82">
        <v>43913</v>
      </c>
      <c r="P257" s="1" t="s">
        <v>651</v>
      </c>
      <c r="Q257" s="1" t="s">
        <v>155</v>
      </c>
    </row>
    <row r="258" spans="1:17" x14ac:dyDescent="0.2">
      <c r="A258" s="1" t="s">
        <v>652</v>
      </c>
      <c r="B258" s="1">
        <v>159848</v>
      </c>
      <c r="C258" s="1">
        <v>0.80800000000000005</v>
      </c>
      <c r="D258" s="81">
        <v>-2.5000000000000001E-3</v>
      </c>
      <c r="E258" s="81">
        <v>-2.5000000000000001E-3</v>
      </c>
      <c r="F258" s="85">
        <v>8521.5400000000009</v>
      </c>
      <c r="G258" s="86" t="s">
        <v>157</v>
      </c>
      <c r="H258" s="86" t="s">
        <v>157</v>
      </c>
      <c r="I258" s="86" t="s">
        <v>157</v>
      </c>
      <c r="J258" s="86" t="s">
        <v>157</v>
      </c>
      <c r="K258" s="86" t="s">
        <v>157</v>
      </c>
      <c r="L258" s="83">
        <v>2.5299999999999998</v>
      </c>
      <c r="M258" s="81">
        <v>5.4999999999999997E-3</v>
      </c>
      <c r="N258" s="1" t="s">
        <v>196</v>
      </c>
      <c r="O258" s="82">
        <v>44267</v>
      </c>
      <c r="P258" s="1" t="s">
        <v>226</v>
      </c>
      <c r="Q258" s="1" t="s">
        <v>169</v>
      </c>
    </row>
    <row r="259" spans="1:17" x14ac:dyDescent="0.2">
      <c r="A259" s="1" t="s">
        <v>653</v>
      </c>
      <c r="B259" s="1">
        <v>516220</v>
      </c>
      <c r="C259" s="1">
        <v>0.99199999999999999</v>
      </c>
      <c r="D259" s="81">
        <v>1.8499999999999999E-2</v>
      </c>
      <c r="E259" s="81">
        <v>-2E-3</v>
      </c>
      <c r="F259" s="85">
        <v>7747.61</v>
      </c>
      <c r="G259" s="86" t="s">
        <v>157</v>
      </c>
      <c r="H259" s="86" t="s">
        <v>157</v>
      </c>
      <c r="I259" s="86" t="s">
        <v>157</v>
      </c>
      <c r="J259" s="86" t="s">
        <v>157</v>
      </c>
      <c r="K259" s="86" t="s">
        <v>157</v>
      </c>
      <c r="L259" s="83">
        <v>11.43</v>
      </c>
      <c r="M259" s="81">
        <v>6.0000000000000001E-3</v>
      </c>
      <c r="N259" s="1" t="s">
        <v>281</v>
      </c>
      <c r="O259" s="82">
        <v>44265</v>
      </c>
      <c r="P259" s="1" t="s">
        <v>158</v>
      </c>
      <c r="Q259" s="1" t="s">
        <v>282</v>
      </c>
    </row>
    <row r="260" spans="1:17" x14ac:dyDescent="0.2">
      <c r="A260" s="1" t="s">
        <v>654</v>
      </c>
      <c r="B260" s="1">
        <v>510850</v>
      </c>
      <c r="C260" s="1">
        <v>3.6949999999999998</v>
      </c>
      <c r="D260" s="81">
        <v>-2.9999999999999997E-4</v>
      </c>
      <c r="E260" s="81">
        <v>-2.3999999999999998E-3</v>
      </c>
      <c r="F260" s="85">
        <v>7010.94</v>
      </c>
      <c r="G260" s="86">
        <v>-9.7199999999999995E-2</v>
      </c>
      <c r="H260" s="86">
        <v>-1.6000000000000001E-3</v>
      </c>
      <c r="I260" s="86">
        <v>0.26800000000000002</v>
      </c>
      <c r="J260" s="86" t="s">
        <v>157</v>
      </c>
      <c r="K260" s="86" t="s">
        <v>157</v>
      </c>
      <c r="L260" s="83">
        <v>3.07</v>
      </c>
      <c r="M260" s="81">
        <v>6.0000000000000001E-3</v>
      </c>
      <c r="N260" s="1" t="s">
        <v>243</v>
      </c>
      <c r="O260" s="82">
        <v>43530</v>
      </c>
      <c r="P260" s="1" t="s">
        <v>319</v>
      </c>
      <c r="Q260" s="1" t="s">
        <v>155</v>
      </c>
    </row>
    <row r="261" spans="1:17" x14ac:dyDescent="0.2">
      <c r="A261" s="1" t="s">
        <v>72</v>
      </c>
      <c r="B261" s="1">
        <v>159857</v>
      </c>
      <c r="C261" s="1">
        <v>0.85299999999999998</v>
      </c>
      <c r="D261" s="81">
        <v>2.0299999999999999E-2</v>
      </c>
      <c r="E261" s="81">
        <v>1.1999999999999999E-3</v>
      </c>
      <c r="F261" s="85">
        <v>5715.44</v>
      </c>
      <c r="G261" s="86" t="s">
        <v>157</v>
      </c>
      <c r="H261" s="86" t="s">
        <v>157</v>
      </c>
      <c r="I261" s="86" t="s">
        <v>157</v>
      </c>
      <c r="J261" s="86" t="s">
        <v>157</v>
      </c>
      <c r="K261" s="86" t="s">
        <v>157</v>
      </c>
      <c r="L261" s="83">
        <v>4.21</v>
      </c>
      <c r="M261" s="81">
        <v>6.0000000000000001E-3</v>
      </c>
      <c r="N261" s="1" t="s">
        <v>195</v>
      </c>
      <c r="O261" s="82">
        <v>44251</v>
      </c>
      <c r="P261" s="1" t="s">
        <v>446</v>
      </c>
      <c r="Q261" s="1" t="s">
        <v>168</v>
      </c>
    </row>
    <row r="262" spans="1:17" x14ac:dyDescent="0.2">
      <c r="A262" s="1" t="s">
        <v>655</v>
      </c>
      <c r="B262" s="1">
        <v>510760</v>
      </c>
      <c r="C262" s="1">
        <v>0.998</v>
      </c>
      <c r="D262" s="81">
        <v>7.1000000000000004E-3</v>
      </c>
      <c r="E262" s="81">
        <v>0</v>
      </c>
      <c r="F262" s="85">
        <v>5404.31</v>
      </c>
      <c r="G262" s="86">
        <v>-5.4899999999999997E-2</v>
      </c>
      <c r="H262" s="86">
        <v>-3.0000000000000001E-3</v>
      </c>
      <c r="I262" s="86" t="s">
        <v>157</v>
      </c>
      <c r="J262" s="86" t="s">
        <v>157</v>
      </c>
      <c r="K262" s="86" t="s">
        <v>157</v>
      </c>
      <c r="L262" s="83">
        <v>8.33</v>
      </c>
      <c r="M262" s="81">
        <v>6.0000000000000001E-3</v>
      </c>
      <c r="N262" s="1" t="s">
        <v>502</v>
      </c>
      <c r="O262" s="82">
        <v>44083</v>
      </c>
      <c r="P262" s="1" t="s">
        <v>158</v>
      </c>
      <c r="Q262" s="1" t="s">
        <v>503</v>
      </c>
    </row>
    <row r="263" spans="1:17" x14ac:dyDescent="0.2">
      <c r="A263" s="1" t="s">
        <v>656</v>
      </c>
      <c r="B263" s="1">
        <v>159977</v>
      </c>
      <c r="C263" s="1">
        <v>2.7730000000000001</v>
      </c>
      <c r="D263" s="81">
        <v>4.3E-3</v>
      </c>
      <c r="E263" s="81">
        <v>-1.1000000000000001E-3</v>
      </c>
      <c r="F263" s="85">
        <v>4508.91</v>
      </c>
      <c r="G263" s="86">
        <v>-0.1923</v>
      </c>
      <c r="H263" s="86">
        <v>-7.0099999999999996E-2</v>
      </c>
      <c r="I263" s="86">
        <v>0.32300000000000001</v>
      </c>
      <c r="J263" s="86" t="s">
        <v>157</v>
      </c>
      <c r="K263" s="86" t="s">
        <v>157</v>
      </c>
      <c r="L263" s="83">
        <v>37.47</v>
      </c>
      <c r="M263" s="81">
        <v>6.0000000000000001E-3</v>
      </c>
      <c r="N263" s="1" t="s">
        <v>618</v>
      </c>
      <c r="O263" s="82">
        <v>43735</v>
      </c>
      <c r="P263" s="1" t="s">
        <v>446</v>
      </c>
      <c r="Q263" s="1" t="s">
        <v>167</v>
      </c>
    </row>
    <row r="264" spans="1:17" x14ac:dyDescent="0.2">
      <c r="A264" s="1" t="s">
        <v>657</v>
      </c>
      <c r="B264" s="1">
        <v>159968</v>
      </c>
      <c r="C264" s="1">
        <v>6.665</v>
      </c>
      <c r="D264" s="81">
        <v>2.3E-3</v>
      </c>
      <c r="E264" s="81">
        <v>2.9999999999999997E-4</v>
      </c>
      <c r="F264" s="85">
        <v>4320.8999999999996</v>
      </c>
      <c r="G264" s="86">
        <v>-4.6600000000000003E-2</v>
      </c>
      <c r="H264" s="86">
        <v>-1.29E-2</v>
      </c>
      <c r="I264" s="86">
        <v>0.19</v>
      </c>
      <c r="J264" s="86" t="s">
        <v>157</v>
      </c>
      <c r="K264" s="86" t="s">
        <v>157</v>
      </c>
      <c r="L264" s="83">
        <v>9.2799999999999994</v>
      </c>
      <c r="M264" s="81">
        <v>2E-3</v>
      </c>
      <c r="N264" s="1" t="s">
        <v>205</v>
      </c>
      <c r="O264" s="82">
        <v>43769</v>
      </c>
      <c r="P264" s="1" t="s">
        <v>266</v>
      </c>
      <c r="Q264" s="1" t="s">
        <v>167</v>
      </c>
    </row>
    <row r="265" spans="1:17" x14ac:dyDescent="0.2">
      <c r="A265" s="1" t="s">
        <v>70</v>
      </c>
      <c r="B265" s="1">
        <v>516020</v>
      </c>
      <c r="C265" s="1">
        <v>0.94699999999999995</v>
      </c>
      <c r="D265" s="81">
        <v>1.4999999999999999E-2</v>
      </c>
      <c r="E265" s="81">
        <v>-2.0999999999999999E-3</v>
      </c>
      <c r="F265" s="85">
        <v>3700.97</v>
      </c>
      <c r="G265" s="86" t="s">
        <v>157</v>
      </c>
      <c r="H265" s="86" t="s">
        <v>157</v>
      </c>
      <c r="I265" s="86" t="s">
        <v>157</v>
      </c>
      <c r="J265" s="86" t="s">
        <v>157</v>
      </c>
      <c r="K265" s="86" t="s">
        <v>157</v>
      </c>
      <c r="L265" s="83">
        <v>10.98</v>
      </c>
      <c r="M265" s="81">
        <v>6.0000000000000001E-3</v>
      </c>
      <c r="N265" s="1" t="s">
        <v>281</v>
      </c>
      <c r="O265" s="82">
        <v>44263</v>
      </c>
      <c r="P265" s="1" t="s">
        <v>200</v>
      </c>
      <c r="Q265" s="1" t="s">
        <v>282</v>
      </c>
    </row>
    <row r="266" spans="1:17" x14ac:dyDescent="0.2">
      <c r="A266" s="1" t="s">
        <v>658</v>
      </c>
      <c r="B266" s="1">
        <v>516770</v>
      </c>
      <c r="C266" s="1">
        <v>0.96599999999999997</v>
      </c>
      <c r="D266" s="81">
        <v>-2.0299999999999999E-2</v>
      </c>
      <c r="E266" s="81">
        <v>1E-3</v>
      </c>
      <c r="F266" s="85">
        <v>3561.68</v>
      </c>
      <c r="G266" s="86" t="s">
        <v>157</v>
      </c>
      <c r="H266" s="86" t="s">
        <v>157</v>
      </c>
      <c r="I266" s="86" t="s">
        <v>157</v>
      </c>
      <c r="J266" s="86" t="s">
        <v>157</v>
      </c>
      <c r="K266" s="86" t="s">
        <v>157</v>
      </c>
      <c r="L266" s="83">
        <v>6.32</v>
      </c>
      <c r="M266" s="81">
        <v>6.0000000000000001E-3</v>
      </c>
      <c r="N266" s="1" t="s">
        <v>352</v>
      </c>
      <c r="O266" s="82">
        <v>44260</v>
      </c>
      <c r="P266" s="1" t="s">
        <v>154</v>
      </c>
      <c r="Q266" s="1" t="s">
        <v>353</v>
      </c>
    </row>
    <row r="267" spans="1:17" x14ac:dyDescent="0.2">
      <c r="A267" s="1" t="s">
        <v>480</v>
      </c>
      <c r="B267" s="1">
        <v>159865</v>
      </c>
      <c r="C267" s="1">
        <v>0.94599999999999995</v>
      </c>
      <c r="D267" s="81">
        <v>0</v>
      </c>
      <c r="E267" s="81">
        <v>-2.0999999999999999E-3</v>
      </c>
      <c r="F267" s="85">
        <v>2974.28</v>
      </c>
      <c r="G267" s="86" t="s">
        <v>157</v>
      </c>
      <c r="H267" s="86" t="s">
        <v>157</v>
      </c>
      <c r="I267" s="86" t="s">
        <v>157</v>
      </c>
      <c r="J267" s="86" t="s">
        <v>157</v>
      </c>
      <c r="K267" s="86" t="s">
        <v>157</v>
      </c>
      <c r="L267" s="83">
        <v>5.13</v>
      </c>
      <c r="M267" s="81">
        <v>6.0000000000000001E-3</v>
      </c>
      <c r="N267" s="1" t="s">
        <v>481</v>
      </c>
      <c r="O267" s="82">
        <v>44263</v>
      </c>
      <c r="P267" s="1" t="s">
        <v>158</v>
      </c>
      <c r="Q267" s="1" t="s">
        <v>482</v>
      </c>
    </row>
    <row r="268" spans="1:17" x14ac:dyDescent="0.2">
      <c r="A268" s="1" t="s">
        <v>77</v>
      </c>
      <c r="B268" s="1">
        <v>515230</v>
      </c>
      <c r="C268" s="1">
        <v>0.90100000000000002</v>
      </c>
      <c r="D268" s="81">
        <v>-9.9000000000000008E-3</v>
      </c>
      <c r="E268" s="81">
        <v>1.1000000000000001E-3</v>
      </c>
      <c r="F268" s="85">
        <v>2869.56</v>
      </c>
      <c r="G268" s="86" t="s">
        <v>157</v>
      </c>
      <c r="H268" s="86" t="s">
        <v>157</v>
      </c>
      <c r="I268" s="86" t="s">
        <v>157</v>
      </c>
      <c r="J268" s="86" t="s">
        <v>157</v>
      </c>
      <c r="K268" s="86" t="s">
        <v>157</v>
      </c>
      <c r="L268" s="83">
        <v>4.49</v>
      </c>
      <c r="M268" s="81">
        <v>6.0000000000000001E-3</v>
      </c>
      <c r="N268" s="1" t="s">
        <v>659</v>
      </c>
      <c r="O268" s="82">
        <v>44257</v>
      </c>
      <c r="P268" s="1" t="s">
        <v>158</v>
      </c>
      <c r="Q268" s="1" t="s">
        <v>521</v>
      </c>
    </row>
    <row r="269" spans="1:17" x14ac:dyDescent="0.2">
      <c r="A269" s="1" t="s">
        <v>660</v>
      </c>
      <c r="B269" s="1">
        <v>510350</v>
      </c>
      <c r="C269" s="1">
        <v>5.1470000000000002</v>
      </c>
      <c r="D269" s="81">
        <v>8.0000000000000004E-4</v>
      </c>
      <c r="E269" s="81">
        <v>-4.3E-3</v>
      </c>
      <c r="F269" s="85">
        <v>2641.52</v>
      </c>
      <c r="G269" s="86">
        <v>-0.1168</v>
      </c>
      <c r="H269" s="86">
        <v>-1.5699999999999999E-2</v>
      </c>
      <c r="I269" s="86">
        <v>0.28260000000000002</v>
      </c>
      <c r="J269" s="86" t="s">
        <v>157</v>
      </c>
      <c r="K269" s="86" t="s">
        <v>157</v>
      </c>
      <c r="L269" s="83">
        <v>33.74</v>
      </c>
      <c r="M269" s="81">
        <v>5.4999999999999997E-3</v>
      </c>
      <c r="N269" s="1" t="s">
        <v>190</v>
      </c>
      <c r="O269" s="82">
        <v>43693</v>
      </c>
      <c r="P269" s="1" t="s">
        <v>319</v>
      </c>
      <c r="Q269" s="1" t="s">
        <v>155</v>
      </c>
    </row>
    <row r="270" spans="1:17" x14ac:dyDescent="0.2">
      <c r="A270" s="1" t="s">
        <v>661</v>
      </c>
      <c r="B270" s="1">
        <v>515770</v>
      </c>
      <c r="C270" s="1">
        <v>1.32</v>
      </c>
      <c r="D270" s="81">
        <v>4.5999999999999999E-3</v>
      </c>
      <c r="E270" s="81">
        <v>-3.0000000000000001E-3</v>
      </c>
      <c r="F270" s="85">
        <v>2402.35</v>
      </c>
      <c r="G270" s="86">
        <v>-0.1212</v>
      </c>
      <c r="H270" s="86">
        <v>-1.35E-2</v>
      </c>
      <c r="I270" s="86" t="s">
        <v>157</v>
      </c>
      <c r="J270" s="86" t="s">
        <v>157</v>
      </c>
      <c r="K270" s="86" t="s">
        <v>157</v>
      </c>
      <c r="L270" s="83">
        <v>3.63</v>
      </c>
      <c r="M270" s="81">
        <v>2E-3</v>
      </c>
      <c r="N270" s="1" t="s">
        <v>662</v>
      </c>
      <c r="O270" s="82">
        <v>44001</v>
      </c>
      <c r="P270" s="1" t="s">
        <v>663</v>
      </c>
      <c r="Q270" s="1" t="s">
        <v>428</v>
      </c>
    </row>
    <row r="271" spans="1:17" x14ac:dyDescent="0.2">
      <c r="A271" s="1" t="s">
        <v>664</v>
      </c>
      <c r="B271" s="1">
        <v>510580</v>
      </c>
      <c r="C271" s="1">
        <v>6.9119999999999999</v>
      </c>
      <c r="D271" s="81">
        <v>8.9999999999999998E-4</v>
      </c>
      <c r="E271" s="81">
        <v>-8.9999999999999998E-4</v>
      </c>
      <c r="F271" s="85">
        <v>2204.33</v>
      </c>
      <c r="G271" s="86">
        <v>-4.4400000000000002E-2</v>
      </c>
      <c r="H271" s="86">
        <v>-1.55E-2</v>
      </c>
      <c r="I271" s="86">
        <v>0.1971</v>
      </c>
      <c r="J271" s="86">
        <v>0.1166</v>
      </c>
      <c r="K271" s="86">
        <v>0.18360000000000001</v>
      </c>
      <c r="L271" s="83">
        <v>8.99</v>
      </c>
      <c r="M271" s="81">
        <v>2E-3</v>
      </c>
      <c r="N271" s="1" t="s">
        <v>205</v>
      </c>
      <c r="O271" s="82">
        <v>42261</v>
      </c>
      <c r="P271" s="1" t="s">
        <v>208</v>
      </c>
      <c r="Q271" s="1" t="s">
        <v>167</v>
      </c>
    </row>
    <row r="272" spans="1:17" x14ac:dyDescent="0.2">
      <c r="A272" s="1" t="s">
        <v>665</v>
      </c>
      <c r="B272" s="1">
        <v>517000</v>
      </c>
      <c r="C272" s="1">
        <v>0.94099999999999995</v>
      </c>
      <c r="D272" s="81">
        <v>5.3E-3</v>
      </c>
      <c r="E272" s="81">
        <v>-3.2000000000000002E-3</v>
      </c>
      <c r="F272" s="85">
        <v>2201.87</v>
      </c>
      <c r="G272" s="86" t="s">
        <v>157</v>
      </c>
      <c r="H272" s="86" t="s">
        <v>157</v>
      </c>
      <c r="I272" s="86" t="s">
        <v>157</v>
      </c>
      <c r="J272" s="86" t="s">
        <v>157</v>
      </c>
      <c r="K272" s="86" t="s">
        <v>157</v>
      </c>
      <c r="L272" s="83">
        <v>14.3</v>
      </c>
      <c r="M272" s="81">
        <v>6.0000000000000001E-3</v>
      </c>
      <c r="N272" s="1" t="s">
        <v>303</v>
      </c>
      <c r="O272" s="82">
        <v>44260</v>
      </c>
      <c r="P272" s="1" t="s">
        <v>249</v>
      </c>
      <c r="Q272" s="1" t="s">
        <v>155</v>
      </c>
    </row>
    <row r="273" spans="1:17" x14ac:dyDescent="0.2">
      <c r="A273" s="1" t="s">
        <v>666</v>
      </c>
      <c r="B273" s="1">
        <v>159863</v>
      </c>
      <c r="C273" s="1">
        <v>0.97099999999999997</v>
      </c>
      <c r="D273" s="81">
        <v>2.1000000000000001E-2</v>
      </c>
      <c r="E273" s="81">
        <v>0</v>
      </c>
      <c r="F273" s="85">
        <v>1961.95</v>
      </c>
      <c r="G273" s="86" t="s">
        <v>157</v>
      </c>
      <c r="H273" s="86" t="s">
        <v>157</v>
      </c>
      <c r="I273" s="86" t="s">
        <v>157</v>
      </c>
      <c r="J273" s="86" t="s">
        <v>157</v>
      </c>
      <c r="K273" s="86" t="s">
        <v>157</v>
      </c>
      <c r="L273" s="83">
        <v>4.57</v>
      </c>
      <c r="M273" s="81">
        <v>6.0000000000000001E-3</v>
      </c>
      <c r="N273" s="1" t="s">
        <v>195</v>
      </c>
      <c r="O273" s="82">
        <v>44266</v>
      </c>
      <c r="P273" s="1" t="s">
        <v>160</v>
      </c>
      <c r="Q273" s="1" t="s">
        <v>168</v>
      </c>
    </row>
    <row r="274" spans="1:17" x14ac:dyDescent="0.2">
      <c r="A274" s="1" t="s">
        <v>667</v>
      </c>
      <c r="B274" s="1">
        <v>515350</v>
      </c>
      <c r="C274" s="1">
        <v>5.6559999999999997</v>
      </c>
      <c r="D274" s="81">
        <v>-2.5000000000000001E-3</v>
      </c>
      <c r="E274" s="81">
        <v>-7.4999999999999997E-3</v>
      </c>
      <c r="F274" s="85">
        <v>1669.25</v>
      </c>
      <c r="G274" s="86">
        <v>-0.11559999999999999</v>
      </c>
      <c r="H274" s="86">
        <v>-5.4999999999999997E-3</v>
      </c>
      <c r="I274" s="86">
        <v>0.40210000000000001</v>
      </c>
      <c r="J274" s="86" t="s">
        <v>157</v>
      </c>
      <c r="K274" s="86" t="s">
        <v>157</v>
      </c>
      <c r="L274" s="83">
        <v>2.87</v>
      </c>
      <c r="M274" s="81">
        <v>2E-3</v>
      </c>
      <c r="N274" s="1" t="s">
        <v>190</v>
      </c>
      <c r="O274" s="82">
        <v>43868</v>
      </c>
      <c r="P274" s="1" t="s">
        <v>668</v>
      </c>
      <c r="Q274" s="1" t="s">
        <v>155</v>
      </c>
    </row>
    <row r="275" spans="1:17" x14ac:dyDescent="0.2">
      <c r="A275" s="1" t="s">
        <v>669</v>
      </c>
      <c r="B275" s="1">
        <v>159839</v>
      </c>
      <c r="C275" s="1">
        <v>0.82699999999999996</v>
      </c>
      <c r="D275" s="81">
        <v>3.5999999999999999E-3</v>
      </c>
      <c r="E275" s="81">
        <v>-2.3999999999999998E-3</v>
      </c>
      <c r="F275" s="85">
        <v>1711.9</v>
      </c>
      <c r="G275" s="86" t="s">
        <v>157</v>
      </c>
      <c r="H275" s="86" t="s">
        <v>157</v>
      </c>
      <c r="I275" s="86" t="s">
        <v>157</v>
      </c>
      <c r="J275" s="86" t="s">
        <v>157</v>
      </c>
      <c r="K275" s="86" t="s">
        <v>157</v>
      </c>
      <c r="L275" s="83">
        <v>4.82</v>
      </c>
      <c r="M275" s="81">
        <v>6.0000000000000001E-3</v>
      </c>
      <c r="N275" s="1" t="s">
        <v>670</v>
      </c>
      <c r="O275" s="82">
        <v>44249</v>
      </c>
      <c r="P275" s="1" t="s">
        <v>173</v>
      </c>
      <c r="Q275" s="1" t="s">
        <v>322</v>
      </c>
    </row>
    <row r="276" spans="1:17" x14ac:dyDescent="0.2">
      <c r="A276" s="1" t="s">
        <v>671</v>
      </c>
      <c r="B276" s="1">
        <v>510600</v>
      </c>
      <c r="C276" s="1">
        <v>4.0579999999999998</v>
      </c>
      <c r="D276" s="81">
        <v>-5.0000000000000001E-4</v>
      </c>
      <c r="E276" s="81">
        <v>0</v>
      </c>
      <c r="F276" s="85">
        <v>1514.25</v>
      </c>
      <c r="G276" s="86">
        <v>-9.7799999999999998E-2</v>
      </c>
      <c r="H276" s="86">
        <v>1.6999999999999999E-3</v>
      </c>
      <c r="I276" s="86">
        <v>0.31879999999999997</v>
      </c>
      <c r="J276" s="86" t="s">
        <v>157</v>
      </c>
      <c r="K276" s="86" t="s">
        <v>157</v>
      </c>
      <c r="L276" s="83">
        <v>2.08</v>
      </c>
      <c r="M276" s="81">
        <v>6.0000000000000001E-3</v>
      </c>
      <c r="N276" s="1" t="s">
        <v>243</v>
      </c>
      <c r="O276" s="82">
        <v>43363</v>
      </c>
      <c r="P276" s="1" t="s">
        <v>547</v>
      </c>
      <c r="Q276" s="1" t="s">
        <v>155</v>
      </c>
    </row>
    <row r="277" spans="1:17" x14ac:dyDescent="0.2">
      <c r="A277" s="1" t="s">
        <v>672</v>
      </c>
      <c r="B277" s="1">
        <v>512380</v>
      </c>
      <c r="C277" s="1">
        <v>1.454</v>
      </c>
      <c r="D277" s="81">
        <v>8.3000000000000001E-3</v>
      </c>
      <c r="E277" s="81">
        <v>6.9999999999999999E-4</v>
      </c>
      <c r="F277" s="85">
        <v>1461.2</v>
      </c>
      <c r="G277" s="86">
        <v>-0.1183</v>
      </c>
      <c r="H277" s="86">
        <v>-1.09E-2</v>
      </c>
      <c r="I277" s="86">
        <v>0.3795</v>
      </c>
      <c r="J277" s="86" t="s">
        <v>157</v>
      </c>
      <c r="K277" s="86" t="s">
        <v>157</v>
      </c>
      <c r="L277" s="83">
        <v>3.37</v>
      </c>
      <c r="M277" s="81">
        <v>6.0000000000000001E-3</v>
      </c>
      <c r="N277" s="1" t="s">
        <v>673</v>
      </c>
      <c r="O277" s="82">
        <v>43585</v>
      </c>
      <c r="P277" s="1" t="s">
        <v>249</v>
      </c>
      <c r="Q277" s="1" t="s">
        <v>428</v>
      </c>
    </row>
    <row r="278" spans="1:17" x14ac:dyDescent="0.2">
      <c r="A278" s="1" t="s">
        <v>674</v>
      </c>
      <c r="B278" s="1">
        <v>515580</v>
      </c>
      <c r="C278" s="1">
        <v>1.57</v>
      </c>
      <c r="D278" s="81">
        <v>7.1000000000000004E-3</v>
      </c>
      <c r="E278" s="81">
        <v>-1.9E-3</v>
      </c>
      <c r="F278" s="85">
        <v>1528.24</v>
      </c>
      <c r="G278" s="86">
        <v>-0.1336</v>
      </c>
      <c r="H278" s="86">
        <v>-4.9099999999999998E-2</v>
      </c>
      <c r="I278" s="86">
        <v>0.29220000000000002</v>
      </c>
      <c r="J278" s="86" t="s">
        <v>157</v>
      </c>
      <c r="K278" s="86" t="s">
        <v>157</v>
      </c>
      <c r="L278" s="83">
        <v>8.9600000000000009</v>
      </c>
      <c r="M278" s="81">
        <v>6.0000000000000001E-3</v>
      </c>
      <c r="N278" s="1" t="s">
        <v>675</v>
      </c>
      <c r="O278" s="82">
        <v>43766</v>
      </c>
      <c r="P278" s="1" t="s">
        <v>154</v>
      </c>
      <c r="Q278" s="1" t="s">
        <v>259</v>
      </c>
    </row>
    <row r="279" spans="1:17" x14ac:dyDescent="0.2">
      <c r="A279" s="1" t="s">
        <v>676</v>
      </c>
      <c r="B279" s="1">
        <v>159816</v>
      </c>
      <c r="C279" s="1">
        <v>100.85899999999999</v>
      </c>
      <c r="D279" s="81">
        <v>5.9999999999999995E-4</v>
      </c>
      <c r="E279" s="81">
        <v>-2.3999999999999998E-3</v>
      </c>
      <c r="F279" s="85">
        <v>1479.44</v>
      </c>
      <c r="G279" s="86">
        <v>5.0000000000000001E-4</v>
      </c>
      <c r="H279" s="86">
        <v>5.3E-3</v>
      </c>
      <c r="I279" s="86" t="s">
        <v>157</v>
      </c>
      <c r="J279" s="86" t="s">
        <v>157</v>
      </c>
      <c r="K279" s="86" t="s">
        <v>157</v>
      </c>
      <c r="L279" s="83">
        <v>23.76</v>
      </c>
      <c r="M279" s="81">
        <v>2E-3</v>
      </c>
      <c r="N279" s="1" t="s">
        <v>677</v>
      </c>
      <c r="O279" s="82">
        <v>44078</v>
      </c>
      <c r="P279" s="1" t="s">
        <v>160</v>
      </c>
      <c r="Q279" s="1" t="s">
        <v>678</v>
      </c>
    </row>
    <row r="280" spans="1:17" x14ac:dyDescent="0.2">
      <c r="A280" s="1" t="s">
        <v>679</v>
      </c>
      <c r="B280" s="1">
        <v>517200</v>
      </c>
      <c r="C280" s="1">
        <v>0.875</v>
      </c>
      <c r="D280" s="81">
        <v>0</v>
      </c>
      <c r="E280" s="81">
        <v>-5.7000000000000002E-3</v>
      </c>
      <c r="F280" s="85">
        <v>1467.62</v>
      </c>
      <c r="G280" s="86">
        <v>-0.1447</v>
      </c>
      <c r="H280" s="86" t="s">
        <v>157</v>
      </c>
      <c r="I280" s="86" t="s">
        <v>157</v>
      </c>
      <c r="J280" s="86" t="s">
        <v>157</v>
      </c>
      <c r="K280" s="86" t="s">
        <v>157</v>
      </c>
      <c r="L280" s="83">
        <v>3.1</v>
      </c>
      <c r="M280" s="81">
        <v>6.0000000000000001E-3</v>
      </c>
      <c r="N280" s="1" t="s">
        <v>415</v>
      </c>
      <c r="O280" s="82">
        <v>44235</v>
      </c>
      <c r="P280" s="1" t="s">
        <v>435</v>
      </c>
      <c r="Q280" s="1" t="s">
        <v>416</v>
      </c>
    </row>
    <row r="281" spans="1:17" x14ac:dyDescent="0.2">
      <c r="A281" s="1" t="s">
        <v>680</v>
      </c>
      <c r="B281" s="1">
        <v>515930</v>
      </c>
      <c r="C281" s="1">
        <v>5.6849999999999996</v>
      </c>
      <c r="D281" s="81">
        <v>1.9E-3</v>
      </c>
      <c r="E281" s="81">
        <v>-5.4000000000000003E-3</v>
      </c>
      <c r="F281" s="85">
        <v>1155.93</v>
      </c>
      <c r="G281" s="86">
        <v>-0.1137</v>
      </c>
      <c r="H281" s="86">
        <v>-8.5000000000000006E-3</v>
      </c>
      <c r="I281" s="86" t="s">
        <v>157</v>
      </c>
      <c r="J281" s="86" t="s">
        <v>157</v>
      </c>
      <c r="K281" s="86" t="s">
        <v>157</v>
      </c>
      <c r="L281" s="83">
        <v>4.9400000000000004</v>
      </c>
      <c r="M281" s="81">
        <v>2E-3</v>
      </c>
      <c r="N281" s="1" t="s">
        <v>190</v>
      </c>
      <c r="O281" s="82">
        <v>43959</v>
      </c>
      <c r="P281" s="1" t="s">
        <v>681</v>
      </c>
      <c r="Q281" s="1" t="s">
        <v>155</v>
      </c>
    </row>
    <row r="282" spans="1:17" x14ac:dyDescent="0.2">
      <c r="A282" s="1" t="s">
        <v>682</v>
      </c>
      <c r="B282" s="1">
        <v>515530</v>
      </c>
      <c r="C282" s="1">
        <v>3.1520000000000001</v>
      </c>
      <c r="D282" s="81">
        <v>5.7000000000000002E-3</v>
      </c>
      <c r="E282" s="81">
        <v>5.9999999999999995E-4</v>
      </c>
      <c r="F282" s="85">
        <v>1212.75</v>
      </c>
      <c r="G282" s="86">
        <v>-4.3400000000000001E-2</v>
      </c>
      <c r="H282" s="86">
        <v>-1.78E-2</v>
      </c>
      <c r="I282" s="86" t="s">
        <v>157</v>
      </c>
      <c r="J282" s="86" t="s">
        <v>157</v>
      </c>
      <c r="K282" s="86" t="s">
        <v>157</v>
      </c>
      <c r="L282" s="83">
        <v>1.32</v>
      </c>
      <c r="M282" s="81">
        <v>4.4999999999999997E-3</v>
      </c>
      <c r="N282" s="1" t="s">
        <v>205</v>
      </c>
      <c r="O282" s="82">
        <v>44144</v>
      </c>
      <c r="P282" s="1" t="s">
        <v>651</v>
      </c>
      <c r="Q282" s="1" t="s">
        <v>167</v>
      </c>
    </row>
    <row r="283" spans="1:17" x14ac:dyDescent="0.2">
      <c r="A283" s="1" t="s">
        <v>683</v>
      </c>
      <c r="B283" s="1">
        <v>516660</v>
      </c>
      <c r="C283" s="1">
        <v>0.92800000000000005</v>
      </c>
      <c r="D283" s="81">
        <v>6.4999999999999997E-3</v>
      </c>
      <c r="E283" s="81">
        <v>-1.1000000000000001E-3</v>
      </c>
      <c r="F283" s="85">
        <v>1238.46</v>
      </c>
      <c r="G283" s="86" t="s">
        <v>157</v>
      </c>
      <c r="H283" s="86" t="s">
        <v>157</v>
      </c>
      <c r="I283" s="86" t="s">
        <v>157</v>
      </c>
      <c r="J283" s="86" t="s">
        <v>157</v>
      </c>
      <c r="K283" s="86" t="s">
        <v>157</v>
      </c>
      <c r="L283" s="83">
        <v>5.73</v>
      </c>
      <c r="M283" s="81">
        <v>6.0000000000000001E-3</v>
      </c>
      <c r="N283" s="1" t="s">
        <v>211</v>
      </c>
      <c r="O283" s="82">
        <v>44253</v>
      </c>
      <c r="P283" s="1" t="s">
        <v>166</v>
      </c>
      <c r="Q283" s="1" t="s">
        <v>212</v>
      </c>
    </row>
    <row r="284" spans="1:17" x14ac:dyDescent="0.2">
      <c r="A284" s="1" t="s">
        <v>684</v>
      </c>
      <c r="B284" s="1">
        <v>159991</v>
      </c>
      <c r="C284" s="1">
        <v>0.54600000000000004</v>
      </c>
      <c r="D284" s="81">
        <v>7.4000000000000003E-3</v>
      </c>
      <c r="E284" s="81">
        <v>0</v>
      </c>
      <c r="F284" s="85">
        <v>1058.53</v>
      </c>
      <c r="G284" s="86">
        <v>-0.2087</v>
      </c>
      <c r="H284" s="86">
        <v>-5.16E-2</v>
      </c>
      <c r="I284" s="86" t="s">
        <v>157</v>
      </c>
      <c r="J284" s="86" t="s">
        <v>157</v>
      </c>
      <c r="K284" s="86" t="s">
        <v>157</v>
      </c>
      <c r="L284" s="83">
        <v>0.99299999999999999</v>
      </c>
      <c r="M284" s="81">
        <v>3.0000000000000001E-3</v>
      </c>
      <c r="N284" s="1" t="s">
        <v>553</v>
      </c>
      <c r="O284" s="82">
        <v>43945</v>
      </c>
      <c r="P284" s="1" t="s">
        <v>361</v>
      </c>
      <c r="Q284" s="1" t="s">
        <v>167</v>
      </c>
    </row>
    <row r="285" spans="1:17" x14ac:dyDescent="0.2">
      <c r="A285" s="1" t="s">
        <v>685</v>
      </c>
      <c r="B285" s="1">
        <v>159963</v>
      </c>
      <c r="C285" s="1">
        <v>1.034</v>
      </c>
      <c r="D285" s="81">
        <v>1.9E-3</v>
      </c>
      <c r="E285" s="81">
        <v>-1E-3</v>
      </c>
      <c r="F285" s="85">
        <v>980.96</v>
      </c>
      <c r="G285" s="86">
        <v>-2.2700000000000001E-2</v>
      </c>
      <c r="H285" s="86">
        <v>6.8199999999999997E-2</v>
      </c>
      <c r="I285" s="86">
        <v>9.8799999999999999E-2</v>
      </c>
      <c r="J285" s="86" t="s">
        <v>157</v>
      </c>
      <c r="K285" s="86" t="s">
        <v>157</v>
      </c>
      <c r="L285" s="83">
        <v>0.224</v>
      </c>
      <c r="M285" s="81">
        <v>6.0000000000000001E-3</v>
      </c>
      <c r="N285" s="1" t="s">
        <v>304</v>
      </c>
      <c r="O285" s="82">
        <v>43550</v>
      </c>
      <c r="P285" s="1" t="s">
        <v>232</v>
      </c>
      <c r="Q285" s="1" t="s">
        <v>305</v>
      </c>
    </row>
    <row r="286" spans="1:17" x14ac:dyDescent="0.2">
      <c r="A286" s="1" t="s">
        <v>686</v>
      </c>
      <c r="B286" s="1">
        <v>512280</v>
      </c>
      <c r="C286" s="1">
        <v>1.5740000000000001</v>
      </c>
      <c r="D286" s="81">
        <v>4.4999999999999997E-3</v>
      </c>
      <c r="E286" s="81">
        <v>-1.2999999999999999E-3</v>
      </c>
      <c r="F286" s="85">
        <v>979.47</v>
      </c>
      <c r="G286" s="86">
        <v>-0.1142</v>
      </c>
      <c r="H286" s="86">
        <v>-3.8E-3</v>
      </c>
      <c r="I286" s="86">
        <v>0.40160000000000001</v>
      </c>
      <c r="J286" s="86" t="s">
        <v>157</v>
      </c>
      <c r="K286" s="86" t="s">
        <v>157</v>
      </c>
      <c r="L286" s="83">
        <v>1.93</v>
      </c>
      <c r="M286" s="81">
        <v>6.0000000000000001E-3</v>
      </c>
      <c r="N286" s="1" t="s">
        <v>427</v>
      </c>
      <c r="O286" s="82">
        <v>43245</v>
      </c>
      <c r="P286" s="1" t="s">
        <v>639</v>
      </c>
      <c r="Q286" s="1" t="s">
        <v>428</v>
      </c>
    </row>
    <row r="287" spans="1:17" x14ac:dyDescent="0.2">
      <c r="A287" s="1" t="s">
        <v>687</v>
      </c>
      <c r="B287" s="1">
        <v>512730</v>
      </c>
      <c r="C287" s="1">
        <v>1.2250000000000001</v>
      </c>
      <c r="D287" s="81">
        <v>1.0699999999999999E-2</v>
      </c>
      <c r="E287" s="81">
        <v>8.0000000000000004E-4</v>
      </c>
      <c r="F287" s="85">
        <v>987.86</v>
      </c>
      <c r="G287" s="86">
        <v>-8.0999999999999996E-3</v>
      </c>
      <c r="H287" s="86">
        <v>0.1208</v>
      </c>
      <c r="I287" s="86">
        <v>0.33589999999999998</v>
      </c>
      <c r="J287" s="86" t="s">
        <v>157</v>
      </c>
      <c r="K287" s="86" t="s">
        <v>157</v>
      </c>
      <c r="L287" s="83">
        <v>1.55</v>
      </c>
      <c r="M287" s="81">
        <v>4.0000000000000001E-3</v>
      </c>
      <c r="N287" s="1" t="s">
        <v>213</v>
      </c>
      <c r="O287" s="82">
        <v>43868</v>
      </c>
      <c r="P287" s="1" t="s">
        <v>160</v>
      </c>
      <c r="Q287" s="1" t="s">
        <v>214</v>
      </c>
    </row>
    <row r="288" spans="1:17" x14ac:dyDescent="0.2">
      <c r="A288" s="1" t="s">
        <v>688</v>
      </c>
      <c r="B288" s="1">
        <v>159975</v>
      </c>
      <c r="C288" s="1">
        <v>0.70499999999999996</v>
      </c>
      <c r="D288" s="81">
        <v>2.8E-3</v>
      </c>
      <c r="E288" s="81">
        <v>0</v>
      </c>
      <c r="F288" s="85">
        <v>891.41</v>
      </c>
      <c r="G288" s="86">
        <v>-0.16470000000000001</v>
      </c>
      <c r="H288" s="86">
        <v>-2.69E-2</v>
      </c>
      <c r="I288" s="86">
        <v>0.4491</v>
      </c>
      <c r="J288" s="86" t="s">
        <v>157</v>
      </c>
      <c r="K288" s="86" t="s">
        <v>157</v>
      </c>
      <c r="L288" s="83">
        <v>1.5</v>
      </c>
      <c r="M288" s="81">
        <v>3.0000000000000001E-3</v>
      </c>
      <c r="N288" s="1" t="s">
        <v>382</v>
      </c>
      <c r="O288" s="82">
        <v>43832</v>
      </c>
      <c r="P288" s="1" t="s">
        <v>361</v>
      </c>
      <c r="Q288" s="1" t="s">
        <v>155</v>
      </c>
    </row>
    <row r="289" spans="1:17" x14ac:dyDescent="0.2">
      <c r="A289" s="1" t="s">
        <v>689</v>
      </c>
      <c r="B289" s="1">
        <v>513880</v>
      </c>
      <c r="C289" s="1">
        <v>1.262</v>
      </c>
      <c r="D289" s="81">
        <v>1.4500000000000001E-2</v>
      </c>
      <c r="E289" s="81">
        <v>-8.0000000000000004E-4</v>
      </c>
      <c r="F289" s="85">
        <v>868.63</v>
      </c>
      <c r="G289" s="86">
        <v>-2.3199999999999998E-2</v>
      </c>
      <c r="H289" s="86">
        <v>2.1000000000000001E-2</v>
      </c>
      <c r="I289" s="86">
        <v>0.33400000000000002</v>
      </c>
      <c r="J289" s="86" t="s">
        <v>157</v>
      </c>
      <c r="K289" s="86" t="s">
        <v>157</v>
      </c>
      <c r="L289" s="83">
        <v>0.57699999999999996</v>
      </c>
      <c r="M289" s="81">
        <v>2.5000000000000001E-3</v>
      </c>
      <c r="N289" s="1" t="s">
        <v>525</v>
      </c>
      <c r="O289" s="82">
        <v>43641</v>
      </c>
      <c r="P289" s="1" t="s">
        <v>166</v>
      </c>
      <c r="Q289" s="1" t="s">
        <v>526</v>
      </c>
    </row>
    <row r="290" spans="1:17" x14ac:dyDescent="0.2">
      <c r="A290" s="1" t="s">
        <v>690</v>
      </c>
      <c r="B290" s="1">
        <v>159972</v>
      </c>
      <c r="C290" s="1">
        <v>104.63800000000001</v>
      </c>
      <c r="D290" s="81">
        <v>-1E-4</v>
      </c>
      <c r="E290" s="81">
        <v>-5.1000000000000004E-3</v>
      </c>
      <c r="F290" s="85">
        <v>932.16</v>
      </c>
      <c r="G290" s="86">
        <v>3.7000000000000002E-3</v>
      </c>
      <c r="H290" s="86">
        <v>9.4000000000000004E-3</v>
      </c>
      <c r="I290" s="86">
        <v>8.6999999999999994E-3</v>
      </c>
      <c r="J290" s="86" t="s">
        <v>157</v>
      </c>
      <c r="K290" s="86" t="s">
        <v>157</v>
      </c>
      <c r="L290" s="83">
        <v>35.19</v>
      </c>
      <c r="M290" s="81">
        <v>2E-3</v>
      </c>
      <c r="N290" s="1" t="s">
        <v>691</v>
      </c>
      <c r="O290" s="82">
        <v>43777</v>
      </c>
      <c r="P290" s="1" t="s">
        <v>160</v>
      </c>
      <c r="Q290" s="1" t="s">
        <v>600</v>
      </c>
    </row>
    <row r="291" spans="1:17" x14ac:dyDescent="0.2">
      <c r="A291" s="1" t="s">
        <v>98</v>
      </c>
      <c r="B291" s="1">
        <v>159987</v>
      </c>
      <c r="C291" s="1">
        <v>1.5629999999999999</v>
      </c>
      <c r="D291" s="81">
        <v>-5.9999999999999995E-4</v>
      </c>
      <c r="E291" s="81">
        <v>0</v>
      </c>
      <c r="F291" s="85">
        <v>907.56</v>
      </c>
      <c r="G291" s="86">
        <v>-0.1588</v>
      </c>
      <c r="H291" s="86">
        <v>-5.8400000000000001E-2</v>
      </c>
      <c r="I291" s="86">
        <v>0.31459999999999999</v>
      </c>
      <c r="J291" s="86" t="s">
        <v>157</v>
      </c>
      <c r="K291" s="86" t="s">
        <v>157</v>
      </c>
      <c r="L291" s="83">
        <v>1.19</v>
      </c>
      <c r="M291" s="81">
        <v>3.8E-3</v>
      </c>
      <c r="N291" s="1" t="s">
        <v>546</v>
      </c>
      <c r="O291" s="82">
        <v>43787</v>
      </c>
      <c r="P291" s="1" t="s">
        <v>249</v>
      </c>
      <c r="Q291" s="1" t="s">
        <v>259</v>
      </c>
    </row>
    <row r="292" spans="1:17" x14ac:dyDescent="0.2">
      <c r="A292" s="1" t="s">
        <v>692</v>
      </c>
      <c r="B292" s="1">
        <v>510590</v>
      </c>
      <c r="C292" s="1">
        <v>6.7</v>
      </c>
      <c r="D292" s="81">
        <v>1.1999999999999999E-3</v>
      </c>
      <c r="E292" s="81">
        <v>1.1999999999999999E-3</v>
      </c>
      <c r="F292" s="85">
        <v>801.71</v>
      </c>
      <c r="G292" s="86">
        <v>-4.2700000000000002E-2</v>
      </c>
      <c r="H292" s="86">
        <v>-1.6899999999999998E-2</v>
      </c>
      <c r="I292" s="86">
        <v>0.16520000000000001</v>
      </c>
      <c r="J292" s="86" t="s">
        <v>157</v>
      </c>
      <c r="K292" s="86" t="s">
        <v>157</v>
      </c>
      <c r="L292" s="83">
        <v>19.489999999999998</v>
      </c>
      <c r="M292" s="81">
        <v>6.0000000000000001E-3</v>
      </c>
      <c r="N292" s="1" t="s">
        <v>205</v>
      </c>
      <c r="O292" s="82">
        <v>43224</v>
      </c>
      <c r="P292" s="1" t="s">
        <v>274</v>
      </c>
      <c r="Q292" s="1" t="s">
        <v>167</v>
      </c>
    </row>
    <row r="293" spans="1:17" x14ac:dyDescent="0.2">
      <c r="A293" s="1" t="s">
        <v>693</v>
      </c>
      <c r="B293" s="1">
        <v>516060</v>
      </c>
      <c r="C293" s="1">
        <v>0.89</v>
      </c>
      <c r="D293" s="81">
        <v>1.1000000000000001E-3</v>
      </c>
      <c r="E293" s="81">
        <v>-1.1000000000000001E-3</v>
      </c>
      <c r="F293" s="85">
        <v>846.6</v>
      </c>
      <c r="G293" s="86" t="s">
        <v>157</v>
      </c>
      <c r="H293" s="86" t="s">
        <v>157</v>
      </c>
      <c r="I293" s="86" t="s">
        <v>157</v>
      </c>
      <c r="J293" s="86" t="s">
        <v>157</v>
      </c>
      <c r="K293" s="86" t="s">
        <v>157</v>
      </c>
      <c r="L293" s="83">
        <v>2.82</v>
      </c>
      <c r="M293" s="81">
        <v>5.1999999999999998E-3</v>
      </c>
      <c r="N293" s="1" t="s">
        <v>248</v>
      </c>
      <c r="O293" s="82">
        <v>44256</v>
      </c>
      <c r="P293" s="1" t="s">
        <v>319</v>
      </c>
      <c r="Q293" s="1" t="s">
        <v>201</v>
      </c>
    </row>
    <row r="294" spans="1:17" x14ac:dyDescent="0.2">
      <c r="A294" s="1" t="s">
        <v>694</v>
      </c>
      <c r="B294" s="1">
        <v>515780</v>
      </c>
      <c r="C294" s="1">
        <v>1.4690000000000001</v>
      </c>
      <c r="D294" s="81">
        <v>6.1999999999999998E-3</v>
      </c>
      <c r="E294" s="81">
        <v>0</v>
      </c>
      <c r="F294" s="85">
        <v>840.55</v>
      </c>
      <c r="G294" s="86">
        <v>-0.1135</v>
      </c>
      <c r="H294" s="86">
        <v>-2.7000000000000001E-3</v>
      </c>
      <c r="I294" s="86" t="s">
        <v>157</v>
      </c>
      <c r="J294" s="86" t="s">
        <v>157</v>
      </c>
      <c r="K294" s="86" t="s">
        <v>157</v>
      </c>
      <c r="L294" s="83">
        <v>3</v>
      </c>
      <c r="M294" s="81">
        <v>2E-3</v>
      </c>
      <c r="N294" s="1" t="s">
        <v>662</v>
      </c>
      <c r="O294" s="82">
        <v>43980</v>
      </c>
      <c r="P294" s="1" t="s">
        <v>409</v>
      </c>
      <c r="Q294" s="1" t="s">
        <v>428</v>
      </c>
    </row>
    <row r="295" spans="1:17" x14ac:dyDescent="0.2">
      <c r="A295" s="1" t="s">
        <v>695</v>
      </c>
      <c r="B295" s="1">
        <v>515620</v>
      </c>
      <c r="C295" s="1">
        <v>1.298</v>
      </c>
      <c r="D295" s="81">
        <v>1.7999999999999999E-2</v>
      </c>
      <c r="E295" s="81">
        <v>7.0000000000000001E-3</v>
      </c>
      <c r="F295" s="85">
        <v>655</v>
      </c>
      <c r="G295" s="86">
        <v>-0.10730000000000001</v>
      </c>
      <c r="H295" s="86">
        <v>-1.5E-3</v>
      </c>
      <c r="I295" s="86" t="s">
        <v>157</v>
      </c>
      <c r="J295" s="86" t="s">
        <v>157</v>
      </c>
      <c r="K295" s="86" t="s">
        <v>157</v>
      </c>
      <c r="L295" s="83">
        <v>0.23599999999999999</v>
      </c>
      <c r="M295" s="81">
        <v>2E-3</v>
      </c>
      <c r="N295" s="1" t="s">
        <v>533</v>
      </c>
      <c r="O295" s="82">
        <v>43976</v>
      </c>
      <c r="P295" s="1" t="s">
        <v>327</v>
      </c>
      <c r="Q295" s="1" t="s">
        <v>503</v>
      </c>
    </row>
    <row r="296" spans="1:17" x14ac:dyDescent="0.2">
      <c r="A296" s="1" t="s">
        <v>106</v>
      </c>
      <c r="B296" s="1">
        <v>159867</v>
      </c>
      <c r="C296" s="1">
        <v>0.94199999999999995</v>
      </c>
      <c r="D296" s="81">
        <v>0</v>
      </c>
      <c r="E296" s="81">
        <v>-2.0999999999999999E-3</v>
      </c>
      <c r="F296" s="85">
        <v>746.93</v>
      </c>
      <c r="G296" s="86" t="s">
        <v>157</v>
      </c>
      <c r="H296" s="86" t="s">
        <v>157</v>
      </c>
      <c r="I296" s="86" t="s">
        <v>157</v>
      </c>
      <c r="J296" s="86" t="s">
        <v>157</v>
      </c>
      <c r="K296" s="86" t="s">
        <v>157</v>
      </c>
      <c r="L296" s="83">
        <v>3.73</v>
      </c>
      <c r="M296" s="81">
        <v>6.0000000000000001E-3</v>
      </c>
      <c r="N296" s="1" t="s">
        <v>481</v>
      </c>
      <c r="O296" s="82">
        <v>44260</v>
      </c>
      <c r="P296" s="1" t="s">
        <v>160</v>
      </c>
      <c r="Q296" s="1" t="s">
        <v>482</v>
      </c>
    </row>
    <row r="297" spans="1:17" x14ac:dyDescent="0.2">
      <c r="A297" s="1" t="s">
        <v>696</v>
      </c>
      <c r="B297" s="1">
        <v>515010</v>
      </c>
      <c r="C297" s="1">
        <v>1.1579999999999999</v>
      </c>
      <c r="D297" s="81">
        <v>2.5999999999999999E-3</v>
      </c>
      <c r="E297" s="81">
        <v>8.9999999999999998E-4</v>
      </c>
      <c r="F297" s="85">
        <v>599.33000000000004</v>
      </c>
      <c r="G297" s="86">
        <v>-6.6900000000000001E-2</v>
      </c>
      <c r="H297" s="86">
        <v>-0.12670000000000001</v>
      </c>
      <c r="I297" s="86">
        <v>7.7200000000000005E-2</v>
      </c>
      <c r="J297" s="86" t="s">
        <v>157</v>
      </c>
      <c r="K297" s="86" t="s">
        <v>157</v>
      </c>
      <c r="L297" s="83">
        <v>7.23</v>
      </c>
      <c r="M297" s="81">
        <v>6.0000000000000001E-3</v>
      </c>
      <c r="N297" s="1" t="s">
        <v>196</v>
      </c>
      <c r="O297" s="82">
        <v>43776</v>
      </c>
      <c r="P297" s="1" t="s">
        <v>171</v>
      </c>
      <c r="Q297" s="1" t="s">
        <v>169</v>
      </c>
    </row>
    <row r="298" spans="1:17" x14ac:dyDescent="0.2">
      <c r="A298" s="1" t="s">
        <v>697</v>
      </c>
      <c r="B298" s="1">
        <v>159969</v>
      </c>
      <c r="C298" s="1">
        <v>1.631</v>
      </c>
      <c r="D298" s="81">
        <v>3.0999999999999999E-3</v>
      </c>
      <c r="E298" s="81">
        <v>-2.3999999999999998E-3</v>
      </c>
      <c r="F298" s="85">
        <v>591.6</v>
      </c>
      <c r="G298" s="86">
        <v>-0.16619999999999999</v>
      </c>
      <c r="H298" s="86">
        <v>-3.95E-2</v>
      </c>
      <c r="I298" s="86">
        <v>0.35799999999999998</v>
      </c>
      <c r="J298" s="86" t="s">
        <v>157</v>
      </c>
      <c r="K298" s="86" t="s">
        <v>157</v>
      </c>
      <c r="L298" s="83">
        <v>0.50700000000000001</v>
      </c>
      <c r="M298" s="81">
        <v>3.0000000000000001E-3</v>
      </c>
      <c r="N298" s="1" t="s">
        <v>382</v>
      </c>
      <c r="O298" s="82">
        <v>43705</v>
      </c>
      <c r="P298" s="1" t="s">
        <v>249</v>
      </c>
      <c r="Q298" s="1" t="s">
        <v>155</v>
      </c>
    </row>
    <row r="299" spans="1:17" x14ac:dyDescent="0.2">
      <c r="A299" s="1" t="s">
        <v>698</v>
      </c>
      <c r="B299" s="1">
        <v>510810</v>
      </c>
      <c r="C299" s="1">
        <v>0.90200000000000002</v>
      </c>
      <c r="D299" s="81">
        <v>7.7999999999999996E-3</v>
      </c>
      <c r="E299" s="81">
        <v>-2.2000000000000001E-3</v>
      </c>
      <c r="F299" s="85">
        <v>621.69000000000005</v>
      </c>
      <c r="G299" s="86">
        <v>1.12E-2</v>
      </c>
      <c r="H299" s="86">
        <v>-2.8000000000000001E-2</v>
      </c>
      <c r="I299" s="86">
        <v>5.5E-2</v>
      </c>
      <c r="J299" s="86">
        <v>-8.3299999999999999E-2</v>
      </c>
      <c r="K299" s="86" t="s">
        <v>157</v>
      </c>
      <c r="L299" s="83">
        <v>101.4</v>
      </c>
      <c r="M299" s="81">
        <v>5.4999999999999997E-3</v>
      </c>
      <c r="N299" s="1" t="s">
        <v>699</v>
      </c>
      <c r="O299" s="82">
        <v>42611</v>
      </c>
      <c r="P299" s="1" t="s">
        <v>173</v>
      </c>
      <c r="Q299" s="1" t="s">
        <v>700</v>
      </c>
    </row>
    <row r="300" spans="1:17" x14ac:dyDescent="0.2">
      <c r="A300" s="1" t="s">
        <v>701</v>
      </c>
      <c r="B300" s="1">
        <v>510200</v>
      </c>
      <c r="C300" s="1">
        <v>1.113</v>
      </c>
      <c r="D300" s="81">
        <v>3.5999999999999999E-3</v>
      </c>
      <c r="E300" s="81">
        <v>-8.9999999999999998E-4</v>
      </c>
      <c r="F300" s="85">
        <v>606.36</v>
      </c>
      <c r="G300" s="86">
        <v>-2.8799999999999999E-2</v>
      </c>
      <c r="H300" s="86">
        <v>-0.1318</v>
      </c>
      <c r="I300" s="86" t="s">
        <v>157</v>
      </c>
      <c r="J300" s="86" t="s">
        <v>157</v>
      </c>
      <c r="K300" s="86" t="s">
        <v>157</v>
      </c>
      <c r="L300" s="83">
        <v>1.0900000000000001</v>
      </c>
      <c r="M300" s="81">
        <v>6.0000000000000001E-3</v>
      </c>
      <c r="N300" s="1" t="s">
        <v>702</v>
      </c>
      <c r="O300" s="82">
        <v>43959</v>
      </c>
      <c r="P300" s="1" t="s">
        <v>629</v>
      </c>
      <c r="Q300" s="1" t="s">
        <v>169</v>
      </c>
    </row>
    <row r="301" spans="1:17" x14ac:dyDescent="0.2">
      <c r="A301" s="1" t="s">
        <v>703</v>
      </c>
      <c r="B301" s="1">
        <v>515660</v>
      </c>
      <c r="C301" s="1">
        <v>5.4390000000000001</v>
      </c>
      <c r="D301" s="81">
        <v>5.0000000000000001E-3</v>
      </c>
      <c r="E301" s="81">
        <v>-2E-3</v>
      </c>
      <c r="F301" s="85">
        <v>472.62</v>
      </c>
      <c r="G301" s="86">
        <v>-0.1222</v>
      </c>
      <c r="H301" s="86">
        <v>-5.7000000000000002E-3</v>
      </c>
      <c r="I301" s="86">
        <v>0.34399999999999997</v>
      </c>
      <c r="J301" s="86" t="s">
        <v>157</v>
      </c>
      <c r="K301" s="86" t="s">
        <v>157</v>
      </c>
      <c r="L301" s="83">
        <v>15.9</v>
      </c>
      <c r="M301" s="81">
        <v>3.5000000000000001E-3</v>
      </c>
      <c r="N301" s="1" t="s">
        <v>190</v>
      </c>
      <c r="O301" s="82">
        <v>43823</v>
      </c>
      <c r="P301" s="1" t="s">
        <v>226</v>
      </c>
      <c r="Q301" s="1" t="s">
        <v>155</v>
      </c>
    </row>
    <row r="302" spans="1:17" x14ac:dyDescent="0.2">
      <c r="A302" s="1" t="s">
        <v>704</v>
      </c>
      <c r="B302" s="1">
        <v>159810</v>
      </c>
      <c r="C302" s="1">
        <v>1.087</v>
      </c>
      <c r="D302" s="81">
        <v>3.7000000000000002E-3</v>
      </c>
      <c r="E302" s="81">
        <v>0</v>
      </c>
      <c r="F302" s="85">
        <v>485.08</v>
      </c>
      <c r="G302" s="86">
        <v>-0.187</v>
      </c>
      <c r="H302" s="86">
        <v>-7.0099999999999996E-2</v>
      </c>
      <c r="I302" s="86" t="s">
        <v>157</v>
      </c>
      <c r="J302" s="86" t="s">
        <v>157</v>
      </c>
      <c r="K302" s="86" t="s">
        <v>157</v>
      </c>
      <c r="L302" s="83">
        <v>0.41399999999999998</v>
      </c>
      <c r="M302" s="81">
        <v>2E-3</v>
      </c>
      <c r="N302" s="1" t="s">
        <v>215</v>
      </c>
      <c r="O302" s="82">
        <v>44022</v>
      </c>
      <c r="P302" s="1" t="s">
        <v>409</v>
      </c>
      <c r="Q302" s="1" t="s">
        <v>167</v>
      </c>
    </row>
    <row r="303" spans="1:17" x14ac:dyDescent="0.2">
      <c r="A303" s="1" t="s">
        <v>705</v>
      </c>
      <c r="B303" s="1">
        <v>512040</v>
      </c>
      <c r="C303" s="1">
        <v>1.62</v>
      </c>
      <c r="D303" s="81">
        <v>1.06E-2</v>
      </c>
      <c r="E303" s="81">
        <v>-1.8E-3</v>
      </c>
      <c r="F303" s="85">
        <v>522.67999999999995</v>
      </c>
      <c r="G303" s="86">
        <v>2.9899999999999999E-2</v>
      </c>
      <c r="H303" s="86">
        <v>8.9399999999999993E-2</v>
      </c>
      <c r="I303" s="86">
        <v>0.36709999999999998</v>
      </c>
      <c r="J303" s="86" t="s">
        <v>157</v>
      </c>
      <c r="K303" s="86" t="s">
        <v>157</v>
      </c>
      <c r="L303" s="83">
        <v>1.91</v>
      </c>
      <c r="M303" s="81">
        <v>7.0000000000000001E-3</v>
      </c>
      <c r="N303" s="1" t="s">
        <v>706</v>
      </c>
      <c r="O303" s="82">
        <v>43433</v>
      </c>
      <c r="P303" s="1" t="s">
        <v>232</v>
      </c>
      <c r="Q303" s="1" t="s">
        <v>436</v>
      </c>
    </row>
    <row r="304" spans="1:17" x14ac:dyDescent="0.2">
      <c r="A304" s="1" t="s">
        <v>707</v>
      </c>
      <c r="B304" s="1">
        <v>512220</v>
      </c>
      <c r="C304" s="1">
        <v>1.63</v>
      </c>
      <c r="D304" s="81">
        <v>-9.1000000000000004E-3</v>
      </c>
      <c r="E304" s="81">
        <v>0</v>
      </c>
      <c r="F304" s="85">
        <v>544.39</v>
      </c>
      <c r="G304" s="86">
        <v>-9.1399999999999995E-2</v>
      </c>
      <c r="H304" s="86">
        <v>-5.9400000000000001E-2</v>
      </c>
      <c r="I304" s="86">
        <v>-1.8E-3</v>
      </c>
      <c r="J304" s="86">
        <v>9.5399999999999999E-2</v>
      </c>
      <c r="K304" s="86">
        <v>0.29670000000000002</v>
      </c>
      <c r="L304" s="83">
        <v>4.6100000000000003</v>
      </c>
      <c r="M304" s="81">
        <v>6.0000000000000001E-3</v>
      </c>
      <c r="N304" s="1" t="s">
        <v>708</v>
      </c>
      <c r="O304" s="82">
        <v>41870</v>
      </c>
      <c r="P304" s="1" t="s">
        <v>639</v>
      </c>
      <c r="Q304" s="1" t="s">
        <v>626</v>
      </c>
    </row>
    <row r="305" spans="1:17" x14ac:dyDescent="0.2">
      <c r="A305" s="1" t="s">
        <v>709</v>
      </c>
      <c r="B305" s="1">
        <v>510530</v>
      </c>
      <c r="C305" s="1">
        <v>6.24</v>
      </c>
      <c r="D305" s="81">
        <v>5.0000000000000001E-4</v>
      </c>
      <c r="E305" s="81">
        <v>-5.9999999999999995E-4</v>
      </c>
      <c r="F305" s="85">
        <v>369.87</v>
      </c>
      <c r="G305" s="86">
        <v>-4.41E-2</v>
      </c>
      <c r="H305" s="86">
        <v>-2.12E-2</v>
      </c>
      <c r="I305" s="86">
        <v>0.12429999999999999</v>
      </c>
      <c r="J305" s="86" t="s">
        <v>157</v>
      </c>
      <c r="K305" s="86" t="s">
        <v>157</v>
      </c>
      <c r="L305" s="83">
        <v>3.22</v>
      </c>
      <c r="M305" s="81">
        <v>5.1999999999999998E-3</v>
      </c>
      <c r="N305" s="1" t="s">
        <v>205</v>
      </c>
      <c r="O305" s="82">
        <v>43833</v>
      </c>
      <c r="P305" s="1" t="s">
        <v>319</v>
      </c>
      <c r="Q305" s="1" t="s">
        <v>167</v>
      </c>
    </row>
    <row r="306" spans="1:17" x14ac:dyDescent="0.2">
      <c r="A306" s="1" t="s">
        <v>710</v>
      </c>
      <c r="B306" s="1">
        <v>159999</v>
      </c>
      <c r="C306" s="1">
        <v>0.999</v>
      </c>
      <c r="D306" s="81">
        <v>-1E-3</v>
      </c>
      <c r="E306" s="81">
        <v>-3.0000000000000001E-3</v>
      </c>
      <c r="F306" s="85">
        <v>428.82</v>
      </c>
      <c r="G306" s="86">
        <v>-4.6800000000000001E-2</v>
      </c>
      <c r="H306" s="86">
        <v>-2.4400000000000002E-2</v>
      </c>
      <c r="I306" s="86" t="s">
        <v>157</v>
      </c>
      <c r="J306" s="86" t="s">
        <v>157</v>
      </c>
      <c r="K306" s="86" t="s">
        <v>157</v>
      </c>
      <c r="L306" s="83">
        <v>0.74299999999999999</v>
      </c>
      <c r="M306" s="81">
        <v>2E-3</v>
      </c>
      <c r="N306" s="1" t="s">
        <v>205</v>
      </c>
      <c r="O306" s="82">
        <v>44055</v>
      </c>
      <c r="P306" s="1" t="s">
        <v>681</v>
      </c>
      <c r="Q306" s="1" t="s">
        <v>167</v>
      </c>
    </row>
    <row r="307" spans="1:17" x14ac:dyDescent="0.2">
      <c r="A307" s="1" t="s">
        <v>711</v>
      </c>
      <c r="B307" s="1">
        <v>159908</v>
      </c>
      <c r="C307" s="1">
        <v>2.4249999999999998</v>
      </c>
      <c r="D307" s="81">
        <v>5.4000000000000003E-3</v>
      </c>
      <c r="E307" s="81">
        <v>-4.0000000000000002E-4</v>
      </c>
      <c r="F307" s="85">
        <v>392.94</v>
      </c>
      <c r="G307" s="86">
        <v>-0.18920000000000001</v>
      </c>
      <c r="H307" s="86">
        <v>-6.6600000000000006E-2</v>
      </c>
      <c r="I307" s="86">
        <v>0.34799999999999998</v>
      </c>
      <c r="J307" s="86">
        <v>0.55549999999999999</v>
      </c>
      <c r="K307" s="86">
        <v>1.1497999999999999</v>
      </c>
      <c r="L307" s="83">
        <v>3.49</v>
      </c>
      <c r="M307" s="81">
        <v>6.0000000000000001E-3</v>
      </c>
      <c r="N307" s="1" t="s">
        <v>215</v>
      </c>
      <c r="O307" s="82">
        <v>40737</v>
      </c>
      <c r="P307" s="1" t="s">
        <v>266</v>
      </c>
      <c r="Q307" s="1" t="s">
        <v>167</v>
      </c>
    </row>
    <row r="308" spans="1:17" x14ac:dyDescent="0.2">
      <c r="A308" s="1" t="s">
        <v>105</v>
      </c>
      <c r="B308" s="1">
        <v>159903</v>
      </c>
      <c r="C308" s="1">
        <v>1.573</v>
      </c>
      <c r="D308" s="81">
        <v>4.4999999999999997E-3</v>
      </c>
      <c r="E308" s="81">
        <v>-2.5000000000000001E-3</v>
      </c>
      <c r="F308" s="85">
        <v>401.67</v>
      </c>
      <c r="G308" s="86">
        <v>-0.1285</v>
      </c>
      <c r="H308" s="86">
        <v>-3.9100000000000003E-2</v>
      </c>
      <c r="I308" s="86">
        <v>0.27889999999999998</v>
      </c>
      <c r="J308" s="86">
        <v>0.29149999999999998</v>
      </c>
      <c r="K308" s="86">
        <v>0.58409999999999995</v>
      </c>
      <c r="L308" s="83">
        <v>3.76</v>
      </c>
      <c r="M308" s="81">
        <v>6.0000000000000001E-3</v>
      </c>
      <c r="N308" s="1" t="s">
        <v>712</v>
      </c>
      <c r="O308" s="82">
        <v>40211</v>
      </c>
      <c r="P308" s="1" t="s">
        <v>163</v>
      </c>
      <c r="Q308" s="1" t="s">
        <v>503</v>
      </c>
    </row>
    <row r="309" spans="1:17" x14ac:dyDescent="0.2">
      <c r="A309" s="1" t="s">
        <v>713</v>
      </c>
      <c r="B309" s="1">
        <v>515810</v>
      </c>
      <c r="C309" s="1">
        <v>1.4039999999999999</v>
      </c>
      <c r="D309" s="81">
        <v>0</v>
      </c>
      <c r="E309" s="81">
        <v>-2.0999999999999999E-3</v>
      </c>
      <c r="F309" s="85">
        <v>426.97</v>
      </c>
      <c r="G309" s="86">
        <v>-0.10290000000000001</v>
      </c>
      <c r="H309" s="86">
        <v>-2.0899999999999998E-2</v>
      </c>
      <c r="I309" s="86">
        <v>0.37780000000000002</v>
      </c>
      <c r="J309" s="86" t="s">
        <v>157</v>
      </c>
      <c r="K309" s="86" t="s">
        <v>157</v>
      </c>
      <c r="L309" s="83">
        <v>1.03</v>
      </c>
      <c r="M309" s="81">
        <v>2E-3</v>
      </c>
      <c r="N309" s="1" t="s">
        <v>533</v>
      </c>
      <c r="O309" s="82">
        <v>43763</v>
      </c>
      <c r="P309" s="1" t="s">
        <v>208</v>
      </c>
      <c r="Q309" s="1" t="s">
        <v>503</v>
      </c>
    </row>
    <row r="310" spans="1:17" x14ac:dyDescent="0.2">
      <c r="A310" s="1" t="s">
        <v>714</v>
      </c>
      <c r="B310" s="1">
        <v>512520</v>
      </c>
      <c r="C310" s="1">
        <v>1.6519999999999999</v>
      </c>
      <c r="D310" s="81">
        <v>4.3E-3</v>
      </c>
      <c r="E310" s="81">
        <v>-3.5999999999999999E-3</v>
      </c>
      <c r="F310" s="85">
        <v>270.45</v>
      </c>
      <c r="G310" s="86">
        <v>-0.12820000000000001</v>
      </c>
      <c r="H310" s="86">
        <v>-1.0800000000000001E-2</v>
      </c>
      <c r="I310" s="86">
        <v>0.40479999999999999</v>
      </c>
      <c r="J310" s="86" t="s">
        <v>157</v>
      </c>
      <c r="K310" s="86" t="s">
        <v>157</v>
      </c>
      <c r="L310" s="83">
        <v>7</v>
      </c>
      <c r="M310" s="81">
        <v>2E-3</v>
      </c>
      <c r="N310" s="1" t="s">
        <v>427</v>
      </c>
      <c r="O310" s="82">
        <v>43238</v>
      </c>
      <c r="P310" s="1" t="s">
        <v>154</v>
      </c>
      <c r="Q310" s="1" t="s">
        <v>428</v>
      </c>
    </row>
    <row r="311" spans="1:17" x14ac:dyDescent="0.2">
      <c r="A311" s="1" t="s">
        <v>715</v>
      </c>
      <c r="B311" s="1">
        <v>516520</v>
      </c>
      <c r="C311" s="1">
        <v>0.91800000000000004</v>
      </c>
      <c r="D311" s="81">
        <v>-8.6E-3</v>
      </c>
      <c r="E311" s="81">
        <v>0</v>
      </c>
      <c r="F311" s="85">
        <v>299.26</v>
      </c>
      <c r="G311" s="86" t="s">
        <v>157</v>
      </c>
      <c r="H311" s="86" t="s">
        <v>157</v>
      </c>
      <c r="I311" s="86" t="s">
        <v>157</v>
      </c>
      <c r="J311" s="86" t="s">
        <v>157</v>
      </c>
      <c r="K311" s="86" t="s">
        <v>157</v>
      </c>
      <c r="L311" s="83">
        <v>3.21</v>
      </c>
      <c r="M311" s="81">
        <v>6.0000000000000001E-3</v>
      </c>
      <c r="N311" s="1" t="s">
        <v>403</v>
      </c>
      <c r="O311" s="82">
        <v>44256</v>
      </c>
      <c r="P311" s="1" t="s">
        <v>154</v>
      </c>
      <c r="Q311" s="1" t="s">
        <v>404</v>
      </c>
    </row>
    <row r="312" spans="1:17" x14ac:dyDescent="0.2">
      <c r="A312" s="1" t="s">
        <v>716</v>
      </c>
      <c r="B312" s="1">
        <v>159957</v>
      </c>
      <c r="C312" s="1">
        <v>1.6850000000000001</v>
      </c>
      <c r="D312" s="81">
        <v>1.1999999999999999E-3</v>
      </c>
      <c r="E312" s="81">
        <v>-5.9999999999999995E-4</v>
      </c>
      <c r="F312" s="85">
        <v>236.6</v>
      </c>
      <c r="G312" s="86">
        <v>-0.1883</v>
      </c>
      <c r="H312" s="86">
        <v>-6.4899999999999999E-2</v>
      </c>
      <c r="I312" s="86">
        <v>0.35339999999999999</v>
      </c>
      <c r="J312" s="86">
        <v>0.59560000000000002</v>
      </c>
      <c r="K312" s="86" t="s">
        <v>157</v>
      </c>
      <c r="L312" s="83">
        <v>2.74</v>
      </c>
      <c r="M312" s="81">
        <v>6.0000000000000001E-3</v>
      </c>
      <c r="N312" s="1" t="s">
        <v>215</v>
      </c>
      <c r="O312" s="82">
        <v>43104</v>
      </c>
      <c r="P312" s="1" t="s">
        <v>171</v>
      </c>
      <c r="Q312" s="1" t="s">
        <v>167</v>
      </c>
    </row>
    <row r="313" spans="1:17" x14ac:dyDescent="0.2">
      <c r="A313" s="1" t="s">
        <v>717</v>
      </c>
      <c r="B313" s="1">
        <v>159965</v>
      </c>
      <c r="C313" s="1">
        <v>1.5049999999999999</v>
      </c>
      <c r="D313" s="81">
        <v>-3.3E-3</v>
      </c>
      <c r="E313" s="81">
        <v>-1.2999999999999999E-3</v>
      </c>
      <c r="F313" s="85">
        <v>167.73</v>
      </c>
      <c r="G313" s="86">
        <v>-9.2299999999999993E-2</v>
      </c>
      <c r="H313" s="86">
        <v>-7.3000000000000001E-3</v>
      </c>
      <c r="I313" s="86">
        <v>0.34260000000000002</v>
      </c>
      <c r="J313" s="86" t="s">
        <v>157</v>
      </c>
      <c r="K313" s="86" t="s">
        <v>157</v>
      </c>
      <c r="L313" s="83">
        <v>1.1599999999999999</v>
      </c>
      <c r="M313" s="81">
        <v>6.0000000000000001E-3</v>
      </c>
      <c r="N313" s="1" t="s">
        <v>718</v>
      </c>
      <c r="O313" s="82">
        <v>43579</v>
      </c>
      <c r="P313" s="1" t="s">
        <v>719</v>
      </c>
      <c r="Q313" s="1" t="s">
        <v>570</v>
      </c>
    </row>
    <row r="314" spans="1:17" x14ac:dyDescent="0.2">
      <c r="A314" s="1" t="s">
        <v>720</v>
      </c>
      <c r="B314" s="1">
        <v>512570</v>
      </c>
      <c r="C314" s="1">
        <v>1.0349999999999999</v>
      </c>
      <c r="D314" s="81">
        <v>1E-3</v>
      </c>
      <c r="E314" s="81">
        <v>0</v>
      </c>
      <c r="F314" s="85">
        <v>197.48</v>
      </c>
      <c r="G314" s="86">
        <v>-7.0099999999999996E-2</v>
      </c>
      <c r="H314" s="86">
        <v>-0.1353</v>
      </c>
      <c r="I314" s="86">
        <v>4.3299999999999998E-2</v>
      </c>
      <c r="J314" s="86">
        <v>0.1802</v>
      </c>
      <c r="K314" s="86" t="s">
        <v>157</v>
      </c>
      <c r="L314" s="83">
        <v>0.54800000000000004</v>
      </c>
      <c r="M314" s="81">
        <v>6.0000000000000001E-3</v>
      </c>
      <c r="N314" s="1" t="s">
        <v>196</v>
      </c>
      <c r="O314" s="82">
        <v>42958</v>
      </c>
      <c r="P314" s="1" t="s">
        <v>208</v>
      </c>
      <c r="Q314" s="1" t="s">
        <v>169</v>
      </c>
    </row>
    <row r="315" spans="1:17" x14ac:dyDescent="0.2">
      <c r="A315" s="1" t="s">
        <v>721</v>
      </c>
      <c r="B315" s="1">
        <v>512650</v>
      </c>
      <c r="C315" s="1">
        <v>1.23</v>
      </c>
      <c r="D315" s="81">
        <v>4.1000000000000003E-3</v>
      </c>
      <c r="E315" s="81">
        <v>0</v>
      </c>
      <c r="F315" s="85">
        <v>151.71</v>
      </c>
      <c r="G315" s="86">
        <v>-0.1055</v>
      </c>
      <c r="H315" s="86">
        <v>-2.3E-2</v>
      </c>
      <c r="I315" s="86">
        <v>0.23619999999999999</v>
      </c>
      <c r="J315" s="86" t="s">
        <v>157</v>
      </c>
      <c r="K315" s="86" t="s">
        <v>157</v>
      </c>
      <c r="L315" s="83">
        <v>19.05</v>
      </c>
      <c r="M315" s="81">
        <v>2E-3</v>
      </c>
      <c r="N315" s="1" t="s">
        <v>722</v>
      </c>
      <c r="O315" s="82">
        <v>43763</v>
      </c>
      <c r="P315" s="1" t="s">
        <v>173</v>
      </c>
      <c r="Q315" s="1" t="s">
        <v>723</v>
      </c>
    </row>
    <row r="316" spans="1:17" x14ac:dyDescent="0.2">
      <c r="A316" s="1" t="s">
        <v>724</v>
      </c>
      <c r="B316" s="1">
        <v>159983</v>
      </c>
      <c r="C316" s="1">
        <v>1.43</v>
      </c>
      <c r="D316" s="81">
        <v>7.0000000000000001E-3</v>
      </c>
      <c r="E316" s="81">
        <v>4.8999999999999998E-3</v>
      </c>
      <c r="F316" s="85">
        <v>234.05</v>
      </c>
      <c r="G316" s="86">
        <v>-9.0899999999999995E-2</v>
      </c>
      <c r="H316" s="86">
        <v>1.06E-2</v>
      </c>
      <c r="I316" s="86" t="s">
        <v>157</v>
      </c>
      <c r="J316" s="86" t="s">
        <v>157</v>
      </c>
      <c r="K316" s="86" t="s">
        <v>157</v>
      </c>
      <c r="L316" s="83">
        <v>1.05</v>
      </c>
      <c r="M316" s="81">
        <v>4.0000000000000001E-3</v>
      </c>
      <c r="N316" s="1" t="s">
        <v>424</v>
      </c>
      <c r="O316" s="82">
        <v>43944</v>
      </c>
      <c r="P316" s="1" t="s">
        <v>171</v>
      </c>
      <c r="Q316" s="1" t="s">
        <v>425</v>
      </c>
    </row>
    <row r="317" spans="1:17" x14ac:dyDescent="0.2">
      <c r="A317" s="1" t="s">
        <v>97</v>
      </c>
      <c r="B317" s="1">
        <v>159988</v>
      </c>
      <c r="C317" s="1">
        <v>1.006</v>
      </c>
      <c r="D317" s="81">
        <v>0</v>
      </c>
      <c r="E317" s="81">
        <v>-1E-3</v>
      </c>
      <c r="F317" s="85">
        <v>231.62</v>
      </c>
      <c r="G317" s="86">
        <v>-2E-3</v>
      </c>
      <c r="H317" s="86">
        <v>6.0000000000000001E-3</v>
      </c>
      <c r="I317" s="86" t="s">
        <v>157</v>
      </c>
      <c r="J317" s="86" t="s">
        <v>157</v>
      </c>
      <c r="K317" s="86" t="s">
        <v>157</v>
      </c>
      <c r="L317" s="83">
        <v>1.61</v>
      </c>
      <c r="M317" s="81">
        <v>2E-3</v>
      </c>
      <c r="N317" s="1" t="s">
        <v>725</v>
      </c>
      <c r="O317" s="82">
        <v>43980</v>
      </c>
      <c r="P317" s="1" t="s">
        <v>274</v>
      </c>
      <c r="Q317" s="1" t="s">
        <v>678</v>
      </c>
    </row>
    <row r="318" spans="1:17" x14ac:dyDescent="0.2">
      <c r="A318" s="1" t="s">
        <v>726</v>
      </c>
      <c r="B318" s="1">
        <v>515760</v>
      </c>
      <c r="C318" s="1">
        <v>1.111</v>
      </c>
      <c r="D318" s="81">
        <v>7.3000000000000001E-3</v>
      </c>
      <c r="E318" s="81">
        <v>-2.7000000000000001E-3</v>
      </c>
      <c r="F318" s="85">
        <v>174.62</v>
      </c>
      <c r="G318" s="86">
        <v>-3.2199999999999999E-2</v>
      </c>
      <c r="H318" s="86">
        <v>5.7099999999999998E-2</v>
      </c>
      <c r="I318" s="86" t="s">
        <v>157</v>
      </c>
      <c r="J318" s="86" t="s">
        <v>157</v>
      </c>
      <c r="K318" s="86" t="s">
        <v>157</v>
      </c>
      <c r="L318" s="83">
        <v>4.29</v>
      </c>
      <c r="M318" s="81">
        <v>5.0000000000000001E-3</v>
      </c>
      <c r="N318" s="1" t="s">
        <v>727</v>
      </c>
      <c r="O318" s="82">
        <v>44116</v>
      </c>
      <c r="P318" s="1" t="s">
        <v>171</v>
      </c>
      <c r="Q318" s="1" t="s">
        <v>728</v>
      </c>
    </row>
    <row r="319" spans="1:17" x14ac:dyDescent="0.2">
      <c r="A319" s="1" t="s">
        <v>729</v>
      </c>
      <c r="B319" s="1">
        <v>515360</v>
      </c>
      <c r="C319" s="1">
        <v>5.7549999999999999</v>
      </c>
      <c r="D319" s="81">
        <v>1.9E-3</v>
      </c>
      <c r="E319" s="81">
        <v>2.0000000000000001E-4</v>
      </c>
      <c r="F319" s="85">
        <v>85.6</v>
      </c>
      <c r="G319" s="86">
        <v>-0.10780000000000001</v>
      </c>
      <c r="H319" s="86">
        <v>-3.5999999999999999E-3</v>
      </c>
      <c r="I319" s="86">
        <v>0.40670000000000001</v>
      </c>
      <c r="J319" s="86" t="s">
        <v>157</v>
      </c>
      <c r="K319" s="86" t="s">
        <v>157</v>
      </c>
      <c r="L319" s="83">
        <v>3.02</v>
      </c>
      <c r="M319" s="81">
        <v>6.0000000000000001E-3</v>
      </c>
      <c r="N319" s="1" t="s">
        <v>190</v>
      </c>
      <c r="O319" s="82">
        <v>43770</v>
      </c>
      <c r="P319" s="1" t="s">
        <v>730</v>
      </c>
      <c r="Q319" s="1" t="s">
        <v>155</v>
      </c>
    </row>
    <row r="320" spans="1:17" x14ac:dyDescent="0.2">
      <c r="A320" s="1" t="s">
        <v>731</v>
      </c>
      <c r="B320" s="1">
        <v>510550</v>
      </c>
      <c r="C320" s="1">
        <v>1.508</v>
      </c>
      <c r="D320" s="81">
        <v>6.9999999999999999E-4</v>
      </c>
      <c r="E320" s="81">
        <v>-4.5999999999999999E-3</v>
      </c>
      <c r="F320" s="85">
        <v>52.33</v>
      </c>
      <c r="G320" s="86">
        <v>-4.6199999999999998E-2</v>
      </c>
      <c r="H320" s="86">
        <v>-3.8300000000000001E-2</v>
      </c>
      <c r="I320" s="86">
        <v>0.1321</v>
      </c>
      <c r="J320" s="86" t="s">
        <v>157</v>
      </c>
      <c r="K320" s="86" t="s">
        <v>157</v>
      </c>
      <c r="L320" s="83">
        <v>0.24399999999999999</v>
      </c>
      <c r="M320" s="81">
        <v>6.0000000000000001E-3</v>
      </c>
      <c r="N320" s="1" t="s">
        <v>205</v>
      </c>
      <c r="O320" s="82">
        <v>43481</v>
      </c>
      <c r="P320" s="1" t="s">
        <v>730</v>
      </c>
      <c r="Q320" s="1" t="s">
        <v>167</v>
      </c>
    </row>
    <row r="321" spans="1:17" x14ac:dyDescent="0.2">
      <c r="A321" s="1" t="s">
        <v>732</v>
      </c>
      <c r="B321" s="1">
        <v>159910</v>
      </c>
      <c r="C321" s="1">
        <v>2.581</v>
      </c>
      <c r="D321" s="81">
        <v>7.0000000000000001E-3</v>
      </c>
      <c r="E321" s="81">
        <v>-2.7000000000000001E-3</v>
      </c>
      <c r="F321" s="85">
        <v>70.319999999999993</v>
      </c>
      <c r="G321" s="86">
        <v>-6.1499999999999999E-2</v>
      </c>
      <c r="H321" s="86">
        <v>2.75E-2</v>
      </c>
      <c r="I321" s="86">
        <v>0.29110000000000003</v>
      </c>
      <c r="J321" s="86">
        <v>0.36630000000000001</v>
      </c>
      <c r="K321" s="86">
        <v>1.1418999999999999</v>
      </c>
      <c r="L321" s="83">
        <v>9.34</v>
      </c>
      <c r="M321" s="81">
        <v>6.0000000000000001E-3</v>
      </c>
      <c r="N321" s="1" t="s">
        <v>733</v>
      </c>
      <c r="O321" s="82">
        <v>40813</v>
      </c>
      <c r="P321" s="1" t="s">
        <v>435</v>
      </c>
      <c r="Q321" s="1" t="s">
        <v>436</v>
      </c>
    </row>
    <row r="322" spans="1:17" x14ac:dyDescent="0.2">
      <c r="A322" s="1" t="s">
        <v>734</v>
      </c>
      <c r="B322" s="1">
        <v>512180</v>
      </c>
      <c r="C322" s="1">
        <v>1.494</v>
      </c>
      <c r="D322" s="81">
        <v>4.7000000000000002E-3</v>
      </c>
      <c r="E322" s="81">
        <v>-6.6E-3</v>
      </c>
      <c r="F322" s="85">
        <v>98.61</v>
      </c>
      <c r="G322" s="86">
        <v>-0.11749999999999999</v>
      </c>
      <c r="H322" s="86">
        <v>-1.1299999999999999E-2</v>
      </c>
      <c r="I322" s="86">
        <v>0.34229999999999999</v>
      </c>
      <c r="J322" s="86" t="s">
        <v>157</v>
      </c>
      <c r="K322" s="86" t="s">
        <v>157</v>
      </c>
      <c r="L322" s="83">
        <v>1.95</v>
      </c>
      <c r="M322" s="81">
        <v>6.0000000000000001E-3</v>
      </c>
      <c r="N322" s="1" t="s">
        <v>427</v>
      </c>
      <c r="O322" s="82">
        <v>43241</v>
      </c>
      <c r="P322" s="1" t="s">
        <v>327</v>
      </c>
      <c r="Q322" s="1" t="s">
        <v>428</v>
      </c>
    </row>
    <row r="323" spans="1:17" x14ac:dyDescent="0.2">
      <c r="A323" s="1" t="s">
        <v>735</v>
      </c>
      <c r="B323" s="1">
        <v>515160</v>
      </c>
      <c r="C323" s="1">
        <v>1.42</v>
      </c>
      <c r="D323" s="81">
        <v>5.7000000000000002E-3</v>
      </c>
      <c r="E323" s="81">
        <v>-2.0999999999999999E-3</v>
      </c>
      <c r="F323" s="85">
        <v>62.46</v>
      </c>
      <c r="G323" s="86">
        <v>-0.1158</v>
      </c>
      <c r="H323" s="86">
        <v>-1.5900000000000001E-2</v>
      </c>
      <c r="I323" s="86">
        <v>0.39350000000000002</v>
      </c>
      <c r="J323" s="86" t="s">
        <v>157</v>
      </c>
      <c r="K323" s="86" t="s">
        <v>157</v>
      </c>
      <c r="L323" s="83">
        <v>12.3</v>
      </c>
      <c r="M323" s="81">
        <v>6.0000000000000001E-3</v>
      </c>
      <c r="N323" s="1" t="s">
        <v>427</v>
      </c>
      <c r="O323" s="82">
        <v>43892</v>
      </c>
      <c r="P323" s="1" t="s">
        <v>361</v>
      </c>
      <c r="Q323" s="1" t="s">
        <v>428</v>
      </c>
    </row>
    <row r="324" spans="1:17" x14ac:dyDescent="0.2">
      <c r="A324" s="1" t="s">
        <v>736</v>
      </c>
      <c r="B324" s="1">
        <v>159961</v>
      </c>
      <c r="C324" s="1">
        <v>2.2010000000000001</v>
      </c>
      <c r="D324" s="81">
        <v>5.4999999999999997E-3</v>
      </c>
      <c r="E324" s="81">
        <v>0</v>
      </c>
      <c r="F324" s="85">
        <v>113.47</v>
      </c>
      <c r="G324" s="86">
        <v>-0.16309999999999999</v>
      </c>
      <c r="H324" s="86">
        <v>-3.7999999999999999E-2</v>
      </c>
      <c r="I324" s="86">
        <v>0.39300000000000002</v>
      </c>
      <c r="J324" s="86" t="s">
        <v>157</v>
      </c>
      <c r="K324" s="86" t="s">
        <v>157</v>
      </c>
      <c r="L324" s="83">
        <v>6.23</v>
      </c>
      <c r="M324" s="81">
        <v>6.0000000000000001E-3</v>
      </c>
      <c r="N324" s="1" t="s">
        <v>382</v>
      </c>
      <c r="O324" s="82">
        <v>43453</v>
      </c>
      <c r="P324" s="1" t="s">
        <v>730</v>
      </c>
      <c r="Q324" s="1" t="s">
        <v>155</v>
      </c>
    </row>
    <row r="325" spans="1:17" x14ac:dyDescent="0.2">
      <c r="A325" s="1" t="s">
        <v>737</v>
      </c>
      <c r="B325" s="1">
        <v>159943</v>
      </c>
      <c r="C325" s="1">
        <v>15.608000000000001</v>
      </c>
      <c r="D325" s="81">
        <v>5.0000000000000001E-4</v>
      </c>
      <c r="E325" s="81">
        <v>-6.1000000000000004E-3</v>
      </c>
      <c r="F325" s="85">
        <v>94.59</v>
      </c>
      <c r="G325" s="86">
        <v>-0.1241</v>
      </c>
      <c r="H325" s="86">
        <v>-3.3399999999999999E-2</v>
      </c>
      <c r="I325" s="86">
        <v>0.28760000000000002</v>
      </c>
      <c r="J325" s="86">
        <v>0.33629999999999999</v>
      </c>
      <c r="K325" s="86">
        <v>0.59589999999999999</v>
      </c>
      <c r="L325" s="83">
        <v>1.69</v>
      </c>
      <c r="M325" s="81">
        <v>6.0000000000000001E-3</v>
      </c>
      <c r="N325" s="1" t="s">
        <v>712</v>
      </c>
      <c r="O325" s="82">
        <v>42193</v>
      </c>
      <c r="P325" s="1" t="s">
        <v>358</v>
      </c>
      <c r="Q325" s="1" t="s">
        <v>503</v>
      </c>
    </row>
    <row r="326" spans="1:17" x14ac:dyDescent="0.2">
      <c r="A326" s="1" t="s">
        <v>738</v>
      </c>
      <c r="B326" s="1">
        <v>512870</v>
      </c>
      <c r="C326" s="1">
        <v>1.76</v>
      </c>
      <c r="D326" s="81">
        <v>5.9999999999999995E-4</v>
      </c>
      <c r="E326" s="81">
        <v>-1.1000000000000001E-3</v>
      </c>
      <c r="F326" s="85">
        <v>73.430000000000007</v>
      </c>
      <c r="G326" s="86">
        <v>-0.14649999999999999</v>
      </c>
      <c r="H326" s="86">
        <v>-2.3300000000000001E-2</v>
      </c>
      <c r="I326" s="86">
        <v>0.31540000000000001</v>
      </c>
      <c r="J326" s="86" t="s">
        <v>157</v>
      </c>
      <c r="K326" s="86" t="s">
        <v>157</v>
      </c>
      <c r="L326" s="83">
        <v>0.746</v>
      </c>
      <c r="M326" s="81">
        <v>6.0000000000000001E-3</v>
      </c>
      <c r="N326" s="1" t="s">
        <v>739</v>
      </c>
      <c r="O326" s="82">
        <v>43518</v>
      </c>
      <c r="P326" s="1" t="s">
        <v>740</v>
      </c>
      <c r="Q326" s="1" t="s">
        <v>741</v>
      </c>
    </row>
    <row r="327" spans="1:17" x14ac:dyDescent="0.2">
      <c r="A327" s="1" t="s">
        <v>742</v>
      </c>
      <c r="B327" s="1">
        <v>159913</v>
      </c>
      <c r="C327" s="1">
        <v>2.5209999999999999</v>
      </c>
      <c r="D327" s="81">
        <v>2E-3</v>
      </c>
      <c r="E327" s="81">
        <v>-1.21E-2</v>
      </c>
      <c r="F327" s="85">
        <v>113.84</v>
      </c>
      <c r="G327" s="86">
        <v>-5.62E-2</v>
      </c>
      <c r="H327" s="86">
        <v>1.61E-2</v>
      </c>
      <c r="I327" s="86">
        <v>0.25359999999999999</v>
      </c>
      <c r="J327" s="86">
        <v>0.32679999999999998</v>
      </c>
      <c r="K327" s="86">
        <v>0.99919999999999998</v>
      </c>
      <c r="L327" s="83">
        <v>0.70799999999999996</v>
      </c>
      <c r="M327" s="81">
        <v>6.0000000000000001E-3</v>
      </c>
      <c r="N327" s="1" t="s">
        <v>743</v>
      </c>
      <c r="O327" s="82">
        <v>40841</v>
      </c>
      <c r="P327" s="1" t="s">
        <v>744</v>
      </c>
      <c r="Q327" s="1" t="s">
        <v>436</v>
      </c>
    </row>
    <row r="328" spans="1:17" x14ac:dyDescent="0.2">
      <c r="A328" s="1" t="s">
        <v>745</v>
      </c>
      <c r="B328" s="1">
        <v>159912</v>
      </c>
      <c r="C328" s="1">
        <v>1.907</v>
      </c>
      <c r="D328" s="81">
        <v>5.0000000000000001E-4</v>
      </c>
      <c r="E328" s="81">
        <v>-1.6000000000000001E-3</v>
      </c>
      <c r="F328" s="85">
        <v>93.59</v>
      </c>
      <c r="G328" s="86">
        <v>-0.1406</v>
      </c>
      <c r="H328" s="86">
        <v>-0.03</v>
      </c>
      <c r="I328" s="86">
        <v>0.27729999999999999</v>
      </c>
      <c r="J328" s="86">
        <v>0.36409999999999998</v>
      </c>
      <c r="K328" s="86">
        <v>0.58260000000000001</v>
      </c>
      <c r="L328" s="83">
        <v>1.1399999999999999</v>
      </c>
      <c r="M328" s="81">
        <v>6.0000000000000001E-3</v>
      </c>
      <c r="N328" s="1" t="s">
        <v>746</v>
      </c>
      <c r="O328" s="82">
        <v>40871</v>
      </c>
      <c r="P328" s="1" t="s">
        <v>173</v>
      </c>
      <c r="Q328" s="1" t="s">
        <v>155</v>
      </c>
    </row>
    <row r="329" spans="1:17" x14ac:dyDescent="0.2">
      <c r="A329" s="1" t="s">
        <v>747</v>
      </c>
      <c r="B329" s="1">
        <v>512190</v>
      </c>
      <c r="C329" s="1">
        <v>1.512</v>
      </c>
      <c r="D329" s="81">
        <v>8.0000000000000002E-3</v>
      </c>
      <c r="E329" s="81">
        <v>-6.6E-3</v>
      </c>
      <c r="F329" s="85">
        <v>84.6</v>
      </c>
      <c r="G329" s="86">
        <v>7.0800000000000002E-2</v>
      </c>
      <c r="H329" s="86">
        <v>2.93E-2</v>
      </c>
      <c r="I329" s="86">
        <v>0.34039999999999998</v>
      </c>
      <c r="J329" s="86" t="s">
        <v>157</v>
      </c>
      <c r="K329" s="86" t="s">
        <v>157</v>
      </c>
      <c r="L329" s="83">
        <v>0.628</v>
      </c>
      <c r="M329" s="81">
        <v>6.0000000000000001E-3</v>
      </c>
      <c r="N329" s="1" t="s">
        <v>748</v>
      </c>
      <c r="O329" s="82">
        <v>43717</v>
      </c>
      <c r="P329" s="1" t="s">
        <v>749</v>
      </c>
      <c r="Q329" s="1" t="s">
        <v>728</v>
      </c>
    </row>
    <row r="330" spans="1:17" x14ac:dyDescent="0.2">
      <c r="A330" s="1" t="s">
        <v>750</v>
      </c>
      <c r="B330" s="1">
        <v>159984</v>
      </c>
      <c r="C330" s="1">
        <v>1.379</v>
      </c>
      <c r="D330" s="81">
        <v>3.5999999999999999E-3</v>
      </c>
      <c r="E330" s="81">
        <v>-4.3E-3</v>
      </c>
      <c r="F330" s="85">
        <v>103.8</v>
      </c>
      <c r="G330" s="86">
        <v>-9.6299999999999997E-2</v>
      </c>
      <c r="H330" s="86">
        <v>6.6E-3</v>
      </c>
      <c r="I330" s="86">
        <v>0.40570000000000001</v>
      </c>
      <c r="J330" s="86" t="s">
        <v>157</v>
      </c>
      <c r="K330" s="86" t="s">
        <v>157</v>
      </c>
      <c r="L330" s="83">
        <v>1.44</v>
      </c>
      <c r="M330" s="81">
        <v>4.0000000000000001E-3</v>
      </c>
      <c r="N330" s="1" t="s">
        <v>424</v>
      </c>
      <c r="O330" s="82">
        <v>43847</v>
      </c>
      <c r="P330" s="1" t="s">
        <v>163</v>
      </c>
      <c r="Q330" s="1" t="s">
        <v>425</v>
      </c>
    </row>
    <row r="331" spans="1:17" x14ac:dyDescent="0.2">
      <c r="A331" s="1" t="s">
        <v>751</v>
      </c>
      <c r="B331" s="1">
        <v>515110</v>
      </c>
      <c r="C331" s="1">
        <v>1.206</v>
      </c>
      <c r="D331" s="81">
        <v>1.01E-2</v>
      </c>
      <c r="E331" s="81">
        <v>-1.6999999999999999E-3</v>
      </c>
      <c r="F331" s="85">
        <v>119.33</v>
      </c>
      <c r="G331" s="86">
        <v>1.52E-2</v>
      </c>
      <c r="H331" s="86">
        <v>5.9799999999999999E-2</v>
      </c>
      <c r="I331" s="86">
        <v>0.25890000000000002</v>
      </c>
      <c r="J331" s="86" t="s">
        <v>157</v>
      </c>
      <c r="K331" s="86" t="s">
        <v>157</v>
      </c>
      <c r="L331" s="83">
        <v>12.24</v>
      </c>
      <c r="M331" s="81">
        <v>2E-3</v>
      </c>
      <c r="N331" s="1" t="s">
        <v>581</v>
      </c>
      <c r="O331" s="82">
        <v>43845</v>
      </c>
      <c r="P331" s="1" t="s">
        <v>208</v>
      </c>
      <c r="Q331" s="1" t="s">
        <v>582</v>
      </c>
    </row>
    <row r="332" spans="1:17" x14ac:dyDescent="0.2">
      <c r="A332" s="1" t="s">
        <v>752</v>
      </c>
      <c r="B332" s="1">
        <v>515590</v>
      </c>
      <c r="C332" s="1">
        <v>1.3460000000000001</v>
      </c>
      <c r="D332" s="81">
        <v>-6.9999999999999999E-4</v>
      </c>
      <c r="E332" s="81">
        <v>-5.1999999999999998E-3</v>
      </c>
      <c r="F332" s="85">
        <v>122.12</v>
      </c>
      <c r="G332" s="86">
        <v>-4.4000000000000003E-3</v>
      </c>
      <c r="H332" s="86">
        <v>-3.0000000000000001E-3</v>
      </c>
      <c r="I332" s="86">
        <v>0.22700000000000001</v>
      </c>
      <c r="J332" s="86" t="s">
        <v>157</v>
      </c>
      <c r="K332" s="86" t="s">
        <v>157</v>
      </c>
      <c r="L332" s="83">
        <v>0.57399999999999995</v>
      </c>
      <c r="M332" s="81">
        <v>2E-3</v>
      </c>
      <c r="N332" s="1" t="s">
        <v>753</v>
      </c>
      <c r="O332" s="82">
        <v>43850</v>
      </c>
      <c r="P332" s="1" t="s">
        <v>754</v>
      </c>
      <c r="Q332" s="1" t="s">
        <v>167</v>
      </c>
    </row>
    <row r="333" spans="1:17" x14ac:dyDescent="0.2">
      <c r="A333" s="1" t="s">
        <v>755</v>
      </c>
      <c r="B333" s="1">
        <v>159970</v>
      </c>
      <c r="C333" s="1">
        <v>6.444</v>
      </c>
      <c r="D333" s="81">
        <v>-2.9999999999999997E-4</v>
      </c>
      <c r="E333" s="81">
        <v>-3.5999999999999999E-3</v>
      </c>
      <c r="F333" s="85">
        <v>137.47999999999999</v>
      </c>
      <c r="G333" s="86">
        <v>-0.1668</v>
      </c>
      <c r="H333" s="86">
        <v>-4.02E-2</v>
      </c>
      <c r="I333" s="86">
        <v>0.35980000000000001</v>
      </c>
      <c r="J333" s="86" t="s">
        <v>157</v>
      </c>
      <c r="K333" s="86" t="s">
        <v>157</v>
      </c>
      <c r="L333" s="83">
        <v>0.64100000000000001</v>
      </c>
      <c r="M333" s="81">
        <v>5.4999999999999997E-3</v>
      </c>
      <c r="N333" s="1" t="s">
        <v>756</v>
      </c>
      <c r="O333" s="82">
        <v>43840</v>
      </c>
      <c r="P333" s="1" t="s">
        <v>319</v>
      </c>
      <c r="Q333" s="1" t="s">
        <v>155</v>
      </c>
    </row>
    <row r="334" spans="1:17" x14ac:dyDescent="0.2">
      <c r="A334" s="1" t="s">
        <v>757</v>
      </c>
      <c r="B334" s="1">
        <v>159809</v>
      </c>
      <c r="C334" s="1">
        <v>1.28</v>
      </c>
      <c r="D334" s="81">
        <v>-3.0999999999999999E-3</v>
      </c>
      <c r="E334" s="81">
        <v>0</v>
      </c>
      <c r="F334" s="85">
        <v>81.11</v>
      </c>
      <c r="G334" s="86">
        <v>-5.3999999999999999E-2</v>
      </c>
      <c r="H334" s="86">
        <v>2.5600000000000001E-2</v>
      </c>
      <c r="I334" s="86" t="s">
        <v>157</v>
      </c>
      <c r="J334" s="86" t="s">
        <v>157</v>
      </c>
      <c r="K334" s="86" t="s">
        <v>157</v>
      </c>
      <c r="L334" s="83">
        <v>0.35299999999999998</v>
      </c>
      <c r="M334" s="81">
        <v>2E-3</v>
      </c>
      <c r="N334" s="1" t="s">
        <v>758</v>
      </c>
      <c r="O334" s="82">
        <v>43972</v>
      </c>
      <c r="P334" s="1" t="s">
        <v>266</v>
      </c>
      <c r="Q334" s="1" t="s">
        <v>425</v>
      </c>
    </row>
    <row r="335" spans="1:17" x14ac:dyDescent="0.2">
      <c r="A335" s="1" t="s">
        <v>759</v>
      </c>
      <c r="B335" s="1">
        <v>512320</v>
      </c>
      <c r="C335" s="1">
        <v>1.0780000000000001</v>
      </c>
      <c r="D335" s="81">
        <v>4.7000000000000002E-3</v>
      </c>
      <c r="E335" s="81">
        <v>-3.7000000000000002E-3</v>
      </c>
      <c r="F335" s="85">
        <v>147.88</v>
      </c>
      <c r="G335" s="86">
        <v>-0.1186</v>
      </c>
      <c r="H335" s="86">
        <v>-1.6400000000000001E-2</v>
      </c>
      <c r="I335" s="86" t="s">
        <v>157</v>
      </c>
      <c r="J335" s="86" t="s">
        <v>157</v>
      </c>
      <c r="K335" s="86" t="s">
        <v>157</v>
      </c>
      <c r="L335" s="83">
        <v>1.47</v>
      </c>
      <c r="M335" s="81">
        <v>6.0000000000000001E-3</v>
      </c>
      <c r="N335" s="1" t="s">
        <v>662</v>
      </c>
      <c r="O335" s="82">
        <v>44050</v>
      </c>
      <c r="P335" s="1" t="s">
        <v>319</v>
      </c>
      <c r="Q335" s="1" t="s">
        <v>428</v>
      </c>
    </row>
    <row r="336" spans="1:17" x14ac:dyDescent="0.2">
      <c r="A336" s="1" t="s">
        <v>760</v>
      </c>
      <c r="B336" s="1">
        <v>159815</v>
      </c>
      <c r="C336" s="1">
        <v>1.0880000000000001</v>
      </c>
      <c r="D336" s="81">
        <v>4.5999999999999999E-3</v>
      </c>
      <c r="E336" s="81">
        <v>-1.8E-3</v>
      </c>
      <c r="F336" s="85">
        <v>77.239999999999995</v>
      </c>
      <c r="G336" s="86">
        <v>-0.1268</v>
      </c>
      <c r="H336" s="86">
        <v>-2.7000000000000001E-3</v>
      </c>
      <c r="I336" s="86" t="s">
        <v>157</v>
      </c>
      <c r="J336" s="86" t="s">
        <v>157</v>
      </c>
      <c r="K336" s="86" t="s">
        <v>157</v>
      </c>
      <c r="L336" s="83">
        <v>0.81</v>
      </c>
      <c r="M336" s="81">
        <v>4.0000000000000001E-3</v>
      </c>
      <c r="N336" s="1" t="s">
        <v>761</v>
      </c>
      <c r="O336" s="82">
        <v>44061</v>
      </c>
      <c r="P336" s="1" t="s">
        <v>361</v>
      </c>
      <c r="Q336" s="1" t="s">
        <v>728</v>
      </c>
    </row>
    <row r="337" spans="1:17" x14ac:dyDescent="0.2">
      <c r="A337" s="1" t="s">
        <v>762</v>
      </c>
      <c r="B337" s="1">
        <v>515500</v>
      </c>
      <c r="C337" s="1">
        <v>1.0920000000000001</v>
      </c>
      <c r="D337" s="81">
        <v>7.4000000000000003E-3</v>
      </c>
      <c r="E337" s="81">
        <v>-8.9999999999999998E-4</v>
      </c>
      <c r="F337" s="85">
        <v>92.09</v>
      </c>
      <c r="G337" s="86">
        <v>-1.18E-2</v>
      </c>
      <c r="H337" s="86">
        <v>6.7400000000000002E-2</v>
      </c>
      <c r="I337" s="86" t="s">
        <v>157</v>
      </c>
      <c r="J337" s="86" t="s">
        <v>157</v>
      </c>
      <c r="K337" s="86" t="s">
        <v>157</v>
      </c>
      <c r="L337" s="83">
        <v>2.2200000000000002</v>
      </c>
      <c r="M337" s="81">
        <v>2E-3</v>
      </c>
      <c r="N337" s="1" t="s">
        <v>763</v>
      </c>
      <c r="O337" s="82">
        <v>44092</v>
      </c>
      <c r="P337" s="1" t="s">
        <v>422</v>
      </c>
      <c r="Q337" s="1" t="s">
        <v>723</v>
      </c>
    </row>
    <row r="338" spans="1:17" x14ac:dyDescent="0.2">
      <c r="A338" s="1" t="s">
        <v>764</v>
      </c>
      <c r="B338" s="1">
        <v>510120</v>
      </c>
      <c r="C338" s="1">
        <v>4.2990000000000004</v>
      </c>
      <c r="D338" s="81">
        <v>1.1999999999999999E-3</v>
      </c>
      <c r="E338" s="81">
        <v>-7.7999999999999996E-3</v>
      </c>
      <c r="F338" s="85">
        <v>2.23</v>
      </c>
      <c r="G338" s="86">
        <v>-0.1487</v>
      </c>
      <c r="H338" s="86">
        <v>-1.67E-2</v>
      </c>
      <c r="I338" s="86">
        <v>0.35920000000000002</v>
      </c>
      <c r="J338" s="86">
        <v>0.44700000000000001</v>
      </c>
      <c r="K338" s="86">
        <v>0.83720000000000006</v>
      </c>
      <c r="L338" s="83">
        <v>0.22900000000000001</v>
      </c>
      <c r="M338" s="81">
        <v>6.0000000000000001E-3</v>
      </c>
      <c r="N338" s="1" t="s">
        <v>765</v>
      </c>
      <c r="O338" s="82">
        <v>40702</v>
      </c>
      <c r="P338" s="1" t="s">
        <v>422</v>
      </c>
      <c r="Q338" s="1" t="s">
        <v>766</v>
      </c>
    </row>
    <row r="339" spans="1:17" x14ac:dyDescent="0.2">
      <c r="A339" s="1" t="s">
        <v>767</v>
      </c>
      <c r="B339" s="1">
        <v>510380</v>
      </c>
      <c r="C339" s="1">
        <v>1.35</v>
      </c>
      <c r="D339" s="81">
        <v>8.9999999999999993E-3</v>
      </c>
      <c r="E339" s="81">
        <v>-6.9999999999999999E-4</v>
      </c>
      <c r="F339" s="85">
        <v>6.97</v>
      </c>
      <c r="G339" s="86">
        <v>-0.1089</v>
      </c>
      <c r="H339" s="86">
        <v>-9.4999999999999998E-3</v>
      </c>
      <c r="I339" s="86">
        <v>0.27600000000000002</v>
      </c>
      <c r="J339" s="86">
        <v>0.33660000000000001</v>
      </c>
      <c r="K339" s="86" t="s">
        <v>157</v>
      </c>
      <c r="L339" s="83">
        <v>50.08</v>
      </c>
      <c r="M339" s="81">
        <v>6.0000000000000001E-3</v>
      </c>
      <c r="N339" s="1" t="s">
        <v>190</v>
      </c>
      <c r="O339" s="82">
        <v>43138</v>
      </c>
      <c r="P339" s="1" t="s">
        <v>374</v>
      </c>
      <c r="Q339" s="1" t="s">
        <v>155</v>
      </c>
    </row>
    <row r="340" spans="1:17" x14ac:dyDescent="0.2">
      <c r="A340" s="1" t="s">
        <v>768</v>
      </c>
      <c r="B340" s="1">
        <v>512920</v>
      </c>
      <c r="C340" s="1">
        <v>1.7809999999999999</v>
      </c>
      <c r="D340" s="81">
        <v>2.3E-3</v>
      </c>
      <c r="E340" s="81">
        <v>-4.4999999999999997E-3</v>
      </c>
      <c r="F340" s="85">
        <v>36.28</v>
      </c>
      <c r="G340" s="86">
        <v>-0.1188</v>
      </c>
      <c r="H340" s="86">
        <v>-1.17E-2</v>
      </c>
      <c r="I340" s="86">
        <v>0.3125</v>
      </c>
      <c r="J340" s="86" t="s">
        <v>157</v>
      </c>
      <c r="K340" s="86" t="s">
        <v>157</v>
      </c>
      <c r="L340" s="83">
        <v>0.63900000000000001</v>
      </c>
      <c r="M340" s="81">
        <v>6.0000000000000001E-3</v>
      </c>
      <c r="N340" s="1" t="s">
        <v>769</v>
      </c>
      <c r="O340" s="82">
        <v>43441</v>
      </c>
      <c r="P340" s="1" t="s">
        <v>770</v>
      </c>
      <c r="Q340" s="1" t="s">
        <v>428</v>
      </c>
    </row>
    <row r="341" spans="1:17" x14ac:dyDescent="0.2">
      <c r="A341" s="1" t="s">
        <v>771</v>
      </c>
      <c r="B341" s="1">
        <v>512360</v>
      </c>
      <c r="C341" s="1">
        <v>1.6459999999999999</v>
      </c>
      <c r="D341" s="81">
        <v>-3.0000000000000001E-3</v>
      </c>
      <c r="E341" s="81">
        <v>-1.32E-2</v>
      </c>
      <c r="F341" s="85">
        <v>3.25</v>
      </c>
      <c r="G341" s="86">
        <v>-0.1245</v>
      </c>
      <c r="H341" s="86">
        <v>-1.8499999999999999E-2</v>
      </c>
      <c r="I341" s="86">
        <v>0.39729999999999999</v>
      </c>
      <c r="J341" s="86" t="s">
        <v>157</v>
      </c>
      <c r="K341" s="86" t="s">
        <v>157</v>
      </c>
      <c r="L341" s="83">
        <v>1.36</v>
      </c>
      <c r="M341" s="81">
        <v>6.0000000000000001E-3</v>
      </c>
      <c r="N341" s="1" t="s">
        <v>769</v>
      </c>
      <c r="O341" s="82">
        <v>43301</v>
      </c>
      <c r="P341" s="1" t="s">
        <v>274</v>
      </c>
      <c r="Q341" s="1" t="s">
        <v>428</v>
      </c>
    </row>
    <row r="342" spans="1:17" x14ac:dyDescent="0.2">
      <c r="A342" s="1" t="s">
        <v>772</v>
      </c>
      <c r="B342" s="1">
        <v>512780</v>
      </c>
      <c r="C342" s="1">
        <v>0.85</v>
      </c>
      <c r="D342" s="81">
        <v>-4.7000000000000002E-3</v>
      </c>
      <c r="E342" s="81">
        <v>-2.3E-3</v>
      </c>
      <c r="F342" s="85">
        <v>14.22</v>
      </c>
      <c r="G342" s="86">
        <v>3.4099999999999998E-2</v>
      </c>
      <c r="H342" s="86">
        <v>-1.8499999999999999E-2</v>
      </c>
      <c r="I342" s="86">
        <v>5.8999999999999999E-3</v>
      </c>
      <c r="J342" s="86" t="s">
        <v>157</v>
      </c>
      <c r="K342" s="86" t="s">
        <v>157</v>
      </c>
      <c r="L342" s="83">
        <v>0.495</v>
      </c>
      <c r="M342" s="81">
        <v>6.0000000000000001E-3</v>
      </c>
      <c r="N342" s="1" t="s">
        <v>773</v>
      </c>
      <c r="O342" s="82">
        <v>43244</v>
      </c>
      <c r="P342" s="1" t="s">
        <v>276</v>
      </c>
      <c r="Q342" s="1" t="s">
        <v>774</v>
      </c>
    </row>
    <row r="343" spans="1:17" x14ac:dyDescent="0.2">
      <c r="A343" s="1" t="s">
        <v>775</v>
      </c>
      <c r="B343" s="1">
        <v>159962</v>
      </c>
      <c r="C343" s="1">
        <v>1.5469999999999999</v>
      </c>
      <c r="D343" s="81">
        <v>1.78E-2</v>
      </c>
      <c r="E343" s="81">
        <v>-1.9E-3</v>
      </c>
      <c r="F343" s="85">
        <v>19.37</v>
      </c>
      <c r="G343" s="86">
        <v>-8.9499999999999996E-2</v>
      </c>
      <c r="H343" s="86">
        <v>3.27E-2</v>
      </c>
      <c r="I343" s="86">
        <v>0.4526</v>
      </c>
      <c r="J343" s="86" t="s">
        <v>157</v>
      </c>
      <c r="K343" s="86" t="s">
        <v>157</v>
      </c>
      <c r="L343" s="83">
        <v>2.4300000000000002</v>
      </c>
      <c r="M343" s="81">
        <v>5.4999999999999997E-3</v>
      </c>
      <c r="N343" s="1" t="s">
        <v>776</v>
      </c>
      <c r="O343" s="82">
        <v>43573</v>
      </c>
      <c r="P343" s="1" t="s">
        <v>171</v>
      </c>
      <c r="Q343" s="1" t="s">
        <v>700</v>
      </c>
    </row>
    <row r="344" spans="1:17" x14ac:dyDescent="0.2">
      <c r="A344" s="1" t="s">
        <v>777</v>
      </c>
      <c r="B344" s="1">
        <v>512610</v>
      </c>
      <c r="C344" s="1">
        <v>2.0779999999999998</v>
      </c>
      <c r="D344" s="81">
        <v>4.7999999999999996E-3</v>
      </c>
      <c r="E344" s="81">
        <v>3.3999999999999998E-3</v>
      </c>
      <c r="F344" s="85">
        <v>18</v>
      </c>
      <c r="G344" s="86">
        <v>-0.17929999999999999</v>
      </c>
      <c r="H344" s="86">
        <v>-4.6399999999999997E-2</v>
      </c>
      <c r="I344" s="86">
        <v>0.28510000000000002</v>
      </c>
      <c r="J344" s="86">
        <v>0.27800000000000002</v>
      </c>
      <c r="K344" s="86">
        <v>0.71309999999999996</v>
      </c>
      <c r="L344" s="83">
        <v>0.16800000000000001</v>
      </c>
      <c r="M344" s="81">
        <v>6.0000000000000001E-3</v>
      </c>
      <c r="N344" s="1" t="s">
        <v>505</v>
      </c>
      <c r="O344" s="82">
        <v>41845</v>
      </c>
      <c r="P344" s="1" t="s">
        <v>435</v>
      </c>
      <c r="Q344" s="1" t="s">
        <v>201</v>
      </c>
    </row>
    <row r="345" spans="1:17" x14ac:dyDescent="0.2">
      <c r="A345" s="1" t="s">
        <v>778</v>
      </c>
      <c r="B345" s="1">
        <v>510290</v>
      </c>
      <c r="C345" s="1">
        <v>1.8560000000000001</v>
      </c>
      <c r="D345" s="81">
        <v>4.8999999999999998E-3</v>
      </c>
      <c r="E345" s="81">
        <v>-5.0000000000000001E-4</v>
      </c>
      <c r="F345" s="85">
        <v>23.04</v>
      </c>
      <c r="G345" s="86">
        <v>-4.58E-2</v>
      </c>
      <c r="H345" s="86">
        <v>-1.38E-2</v>
      </c>
      <c r="I345" s="86">
        <v>0.1951</v>
      </c>
      <c r="J345" s="86">
        <v>0.16070000000000001</v>
      </c>
      <c r="K345" s="86">
        <v>0.38300000000000001</v>
      </c>
      <c r="L345" s="83">
        <v>1.52</v>
      </c>
      <c r="M345" s="81">
        <v>6.0000000000000001E-3</v>
      </c>
      <c r="N345" s="1" t="s">
        <v>779</v>
      </c>
      <c r="O345" s="82">
        <v>40855</v>
      </c>
      <c r="P345" s="1" t="s">
        <v>163</v>
      </c>
      <c r="Q345" s="1" t="s">
        <v>167</v>
      </c>
    </row>
    <row r="346" spans="1:17" x14ac:dyDescent="0.2">
      <c r="A346" s="1" t="s">
        <v>780</v>
      </c>
      <c r="B346" s="1">
        <v>510560</v>
      </c>
      <c r="C346" s="1">
        <v>1.337</v>
      </c>
      <c r="D346" s="81">
        <v>-3.7000000000000002E-3</v>
      </c>
      <c r="E346" s="81">
        <v>-1.04E-2</v>
      </c>
      <c r="F346" s="85">
        <v>2.98</v>
      </c>
      <c r="G346" s="86">
        <v>-4.9099999999999998E-2</v>
      </c>
      <c r="H346" s="86">
        <v>-2.4799999999999999E-2</v>
      </c>
      <c r="I346" s="86">
        <v>0.1179</v>
      </c>
      <c r="J346" s="86">
        <v>-3.8100000000000002E-2</v>
      </c>
      <c r="K346" s="86">
        <v>0.1759</v>
      </c>
      <c r="L346" s="83">
        <v>8.09</v>
      </c>
      <c r="M346" s="81">
        <v>6.0000000000000001E-3</v>
      </c>
      <c r="N346" s="1" t="s">
        <v>205</v>
      </c>
      <c r="O346" s="82">
        <v>42188</v>
      </c>
      <c r="P346" s="1" t="s">
        <v>374</v>
      </c>
      <c r="Q346" s="1" t="s">
        <v>167</v>
      </c>
    </row>
    <row r="347" spans="1:17" x14ac:dyDescent="0.2">
      <c r="A347" s="1" t="s">
        <v>781</v>
      </c>
      <c r="B347" s="1">
        <v>515550</v>
      </c>
      <c r="C347" s="1">
        <v>1.292</v>
      </c>
      <c r="D347" s="81">
        <v>2.2200000000000001E-2</v>
      </c>
      <c r="E347" s="81">
        <v>2.3E-2</v>
      </c>
      <c r="F347" s="85">
        <v>5.35</v>
      </c>
      <c r="G347" s="86">
        <v>-2.2700000000000001E-2</v>
      </c>
      <c r="H347" s="86">
        <v>7.0000000000000001E-3</v>
      </c>
      <c r="I347" s="86">
        <v>0.16289999999999999</v>
      </c>
      <c r="J347" s="86" t="s">
        <v>157</v>
      </c>
      <c r="K347" s="86" t="s">
        <v>157</v>
      </c>
      <c r="L347" s="83">
        <v>0.45600000000000002</v>
      </c>
      <c r="M347" s="81">
        <v>4.0000000000000001E-3</v>
      </c>
      <c r="N347" s="1" t="s">
        <v>205</v>
      </c>
      <c r="O347" s="82">
        <v>43824</v>
      </c>
      <c r="P347" s="1" t="s">
        <v>719</v>
      </c>
      <c r="Q347" s="1" t="s">
        <v>167</v>
      </c>
    </row>
    <row r="348" spans="1:17" x14ac:dyDescent="0.2">
      <c r="A348" s="1" t="s">
        <v>782</v>
      </c>
      <c r="B348" s="1">
        <v>515190</v>
      </c>
      <c r="C348" s="1">
        <v>1.2310000000000001</v>
      </c>
      <c r="D348" s="81">
        <v>1.5699999999999999E-2</v>
      </c>
      <c r="E348" s="81">
        <v>-8.0000000000000004E-4</v>
      </c>
      <c r="F348" s="85">
        <v>5.91</v>
      </c>
      <c r="G348" s="86">
        <v>-8.0699999999999994E-2</v>
      </c>
      <c r="H348" s="86">
        <v>-1.0500000000000001E-2</v>
      </c>
      <c r="I348" s="86" t="s">
        <v>157</v>
      </c>
      <c r="J348" s="86" t="s">
        <v>157</v>
      </c>
      <c r="K348" s="86" t="s">
        <v>157</v>
      </c>
      <c r="L348" s="83">
        <v>1</v>
      </c>
      <c r="M348" s="81">
        <v>2E-3</v>
      </c>
      <c r="N348" s="1" t="s">
        <v>205</v>
      </c>
      <c r="O348" s="82">
        <v>43978</v>
      </c>
      <c r="P348" s="1" t="s">
        <v>80</v>
      </c>
      <c r="Q348" s="1" t="s">
        <v>167</v>
      </c>
    </row>
    <row r="349" spans="1:17" x14ac:dyDescent="0.2">
      <c r="A349" s="1" t="s">
        <v>783</v>
      </c>
      <c r="B349" s="1">
        <v>510570</v>
      </c>
      <c r="C349" s="1">
        <v>0.91800000000000004</v>
      </c>
      <c r="D349" s="81">
        <v>-3.3E-3</v>
      </c>
      <c r="E349" s="81">
        <v>-8.6E-3</v>
      </c>
      <c r="F349" s="85">
        <v>35.35</v>
      </c>
      <c r="G349" s="86">
        <v>-5.3600000000000002E-2</v>
      </c>
      <c r="H349" s="86">
        <v>-2.86E-2</v>
      </c>
      <c r="I349" s="86" t="s">
        <v>157</v>
      </c>
      <c r="J349" s="86" t="s">
        <v>157</v>
      </c>
      <c r="K349" s="86" t="s">
        <v>157</v>
      </c>
      <c r="L349" s="83">
        <v>1.5</v>
      </c>
      <c r="M349" s="81">
        <v>6.0000000000000001E-3</v>
      </c>
      <c r="N349" s="1" t="s">
        <v>205</v>
      </c>
      <c r="O349" s="82">
        <v>44055</v>
      </c>
      <c r="P349" s="1" t="s">
        <v>493</v>
      </c>
      <c r="Q349" s="1" t="s">
        <v>167</v>
      </c>
    </row>
    <row r="350" spans="1:17" x14ac:dyDescent="0.2">
      <c r="A350" s="1" t="s">
        <v>784</v>
      </c>
      <c r="B350" s="1">
        <v>510010</v>
      </c>
      <c r="C350" s="1">
        <v>1.548</v>
      </c>
      <c r="D350" s="81">
        <v>1.84E-2</v>
      </c>
      <c r="E350" s="81">
        <v>5.1999999999999998E-3</v>
      </c>
      <c r="F350" s="85">
        <v>17.61</v>
      </c>
      <c r="G350" s="86">
        <v>-1.15E-2</v>
      </c>
      <c r="H350" s="86">
        <v>2.3099999999999999E-2</v>
      </c>
      <c r="I350" s="86">
        <v>0.30080000000000001</v>
      </c>
      <c r="J350" s="86">
        <v>0.3019</v>
      </c>
      <c r="K350" s="86">
        <v>0.80420000000000003</v>
      </c>
      <c r="L350" s="83">
        <v>3.2</v>
      </c>
      <c r="M350" s="81">
        <v>6.0000000000000001E-3</v>
      </c>
      <c r="N350" s="1" t="s">
        <v>785</v>
      </c>
      <c r="O350" s="82">
        <v>40162</v>
      </c>
      <c r="P350" s="1" t="s">
        <v>744</v>
      </c>
      <c r="Q350" s="1" t="s">
        <v>570</v>
      </c>
    </row>
    <row r="351" spans="1:17" x14ac:dyDescent="0.2">
      <c r="A351" s="1" t="s">
        <v>786</v>
      </c>
      <c r="B351" s="1">
        <v>512960</v>
      </c>
      <c r="C351" s="1">
        <v>1.1619999999999999</v>
      </c>
      <c r="D351" s="81">
        <v>1.5699999999999999E-2</v>
      </c>
      <c r="E351" s="81">
        <v>0</v>
      </c>
      <c r="F351" s="85">
        <v>44.09</v>
      </c>
      <c r="G351" s="86">
        <v>-3.8899999999999997E-2</v>
      </c>
      <c r="H351" s="86">
        <v>3.5000000000000001E-3</v>
      </c>
      <c r="I351" s="86">
        <v>0.1726</v>
      </c>
      <c r="J351" s="86" t="s">
        <v>157</v>
      </c>
      <c r="K351" s="86" t="s">
        <v>157</v>
      </c>
      <c r="L351" s="83">
        <v>99.98</v>
      </c>
      <c r="M351" s="81">
        <v>2E-3</v>
      </c>
      <c r="N351" s="1" t="s">
        <v>484</v>
      </c>
      <c r="O351" s="82">
        <v>43483</v>
      </c>
      <c r="P351" s="1" t="s">
        <v>266</v>
      </c>
      <c r="Q351" s="1" t="s">
        <v>485</v>
      </c>
    </row>
    <row r="352" spans="1:17" x14ac:dyDescent="0.2">
      <c r="A352" s="1" t="s">
        <v>787</v>
      </c>
      <c r="B352" s="1">
        <v>510860</v>
      </c>
      <c r="C352" s="1">
        <v>1.008</v>
      </c>
      <c r="D352" s="81">
        <v>5.0000000000000001E-3</v>
      </c>
      <c r="E352" s="81">
        <v>-2E-3</v>
      </c>
      <c r="F352" s="85">
        <v>10.42</v>
      </c>
      <c r="G352" s="86">
        <v>-9.6799999999999997E-2</v>
      </c>
      <c r="H352" s="86" t="s">
        <v>157</v>
      </c>
      <c r="I352" s="86" t="s">
        <v>157</v>
      </c>
      <c r="J352" s="86" t="s">
        <v>157</v>
      </c>
      <c r="K352" s="86" t="s">
        <v>157</v>
      </c>
      <c r="L352" s="83">
        <v>2.61</v>
      </c>
      <c r="M352" s="81">
        <v>6.0000000000000001E-3</v>
      </c>
      <c r="N352" s="1" t="s">
        <v>243</v>
      </c>
      <c r="O352" s="82">
        <v>44208</v>
      </c>
      <c r="P352" s="1" t="s">
        <v>493</v>
      </c>
      <c r="Q352" s="1" t="s">
        <v>155</v>
      </c>
    </row>
    <row r="353" spans="1:17" x14ac:dyDescent="0.2">
      <c r="A353" s="1" t="s">
        <v>788</v>
      </c>
      <c r="B353" s="1">
        <v>159918</v>
      </c>
      <c r="C353" s="1">
        <v>1.86</v>
      </c>
      <c r="D353" s="81">
        <v>-1.06E-2</v>
      </c>
      <c r="E353" s="81">
        <v>-1.1000000000000001E-3</v>
      </c>
      <c r="F353" s="85">
        <v>13.33</v>
      </c>
      <c r="G353" s="86">
        <v>-5.7799999999999997E-2</v>
      </c>
      <c r="H353" s="86">
        <v>-4.5699999999999998E-2</v>
      </c>
      <c r="I353" s="86">
        <v>8.4500000000000006E-2</v>
      </c>
      <c r="J353" s="86">
        <v>8.6400000000000005E-2</v>
      </c>
      <c r="K353" s="86">
        <v>5.0299999999999997E-2</v>
      </c>
      <c r="L353" s="83">
        <v>0.997</v>
      </c>
      <c r="M353" s="81">
        <v>6.0000000000000001E-3</v>
      </c>
      <c r="N353" s="1" t="s">
        <v>789</v>
      </c>
      <c r="O353" s="82">
        <v>41040</v>
      </c>
      <c r="P353" s="1" t="s">
        <v>435</v>
      </c>
      <c r="Q353" s="1" t="s">
        <v>167</v>
      </c>
    </row>
    <row r="354" spans="1:17" x14ac:dyDescent="0.2">
      <c r="A354" s="1" t="s">
        <v>790</v>
      </c>
      <c r="B354" s="1">
        <v>159956</v>
      </c>
      <c r="C354" s="1">
        <v>1.605</v>
      </c>
      <c r="D354" s="81">
        <v>4.4000000000000003E-3</v>
      </c>
      <c r="E354" s="81">
        <v>-6.1999999999999998E-3</v>
      </c>
      <c r="F354" s="85">
        <v>47.33</v>
      </c>
      <c r="G354" s="86">
        <v>-0.189</v>
      </c>
      <c r="H354" s="86">
        <v>-5.7500000000000002E-2</v>
      </c>
      <c r="I354" s="86">
        <v>0.35210000000000002</v>
      </c>
      <c r="J354" s="86">
        <v>0.54330000000000001</v>
      </c>
      <c r="K354" s="86" t="s">
        <v>157</v>
      </c>
      <c r="L354" s="83">
        <v>0.67100000000000004</v>
      </c>
      <c r="M354" s="81">
        <v>6.0000000000000001E-3</v>
      </c>
      <c r="N354" s="1" t="s">
        <v>215</v>
      </c>
      <c r="O354" s="82">
        <v>43166</v>
      </c>
      <c r="P354" s="1" t="s">
        <v>327</v>
      </c>
      <c r="Q354" s="1" t="s">
        <v>167</v>
      </c>
    </row>
    <row r="355" spans="1:17" x14ac:dyDescent="0.2">
      <c r="A355" s="1" t="s">
        <v>791</v>
      </c>
      <c r="B355" s="1">
        <v>159951</v>
      </c>
      <c r="C355" s="1">
        <v>0.94399999999999995</v>
      </c>
      <c r="D355" s="81">
        <v>-1.46E-2</v>
      </c>
      <c r="E355" s="81">
        <v>3.2000000000000002E-3</v>
      </c>
      <c r="F355" s="85">
        <v>2.5099999999999998</v>
      </c>
      <c r="G355" s="86">
        <v>-6.0699999999999997E-2</v>
      </c>
      <c r="H355" s="86">
        <v>-2.98E-2</v>
      </c>
      <c r="I355" s="86">
        <v>-8.3999999999999995E-3</v>
      </c>
      <c r="J355" s="86">
        <v>-4.1599999999999998E-2</v>
      </c>
      <c r="K355" s="86" t="s">
        <v>157</v>
      </c>
      <c r="L355" s="83">
        <v>7.6999999999999999E-2</v>
      </c>
      <c r="M355" s="81">
        <v>6.0000000000000001E-3</v>
      </c>
      <c r="N355" s="1" t="s">
        <v>792</v>
      </c>
      <c r="O355" s="82">
        <v>42926</v>
      </c>
      <c r="P355" s="1" t="s">
        <v>435</v>
      </c>
      <c r="Q355" s="1" t="s">
        <v>351</v>
      </c>
    </row>
    <row r="356" spans="1:17" x14ac:dyDescent="0.2">
      <c r="A356" s="1" t="s">
        <v>793</v>
      </c>
      <c r="B356" s="1">
        <v>159916</v>
      </c>
      <c r="C356" s="1">
        <v>5.8890000000000002</v>
      </c>
      <c r="D356" s="81">
        <v>1.2200000000000001E-2</v>
      </c>
      <c r="E356" s="81">
        <v>-7.1999999999999998E-3</v>
      </c>
      <c r="F356" s="85">
        <v>26.01</v>
      </c>
      <c r="G356" s="86">
        <v>-6.9199999999999998E-2</v>
      </c>
      <c r="H356" s="86">
        <v>4.6399999999999997E-2</v>
      </c>
      <c r="I356" s="86">
        <v>0.33750000000000002</v>
      </c>
      <c r="J356" s="86">
        <v>0.49130000000000001</v>
      </c>
      <c r="K356" s="86">
        <v>1.5840000000000001</v>
      </c>
      <c r="L356" s="83">
        <v>6.05</v>
      </c>
      <c r="M356" s="81">
        <v>6.0000000000000001E-3</v>
      </c>
      <c r="N356" s="1" t="s">
        <v>794</v>
      </c>
      <c r="O356" s="82">
        <v>40840</v>
      </c>
      <c r="P356" s="1" t="s">
        <v>327</v>
      </c>
      <c r="Q356" s="1" t="s">
        <v>436</v>
      </c>
    </row>
    <row r="357" spans="1:17" x14ac:dyDescent="0.2">
      <c r="A357" s="1" t="s">
        <v>795</v>
      </c>
      <c r="B357" s="1">
        <v>512270</v>
      </c>
      <c r="C357" s="1">
        <v>1.135</v>
      </c>
      <c r="D357" s="81">
        <v>4.4000000000000003E-3</v>
      </c>
      <c r="E357" s="81">
        <v>-2.5999999999999999E-3</v>
      </c>
      <c r="F357" s="85">
        <v>37.96</v>
      </c>
      <c r="G357" s="86">
        <v>-3.1600000000000003E-2</v>
      </c>
      <c r="H357" s="86">
        <v>2.2499999999999999E-2</v>
      </c>
      <c r="I357" s="86">
        <v>0.15820000000000001</v>
      </c>
      <c r="J357" s="86" t="s">
        <v>157</v>
      </c>
      <c r="K357" s="86" t="s">
        <v>157</v>
      </c>
      <c r="L357" s="83">
        <v>0.10199999999999999</v>
      </c>
      <c r="M357" s="81">
        <v>6.0000000000000001E-3</v>
      </c>
      <c r="N357" s="1" t="s">
        <v>796</v>
      </c>
      <c r="O357" s="82">
        <v>43553</v>
      </c>
      <c r="P357" s="1" t="s">
        <v>166</v>
      </c>
      <c r="Q357" s="1" t="s">
        <v>348</v>
      </c>
    </row>
    <row r="358" spans="1:17" x14ac:dyDescent="0.2">
      <c r="A358" s="1" t="s">
        <v>797</v>
      </c>
      <c r="B358" s="1">
        <v>510020</v>
      </c>
      <c r="C358" s="1">
        <v>3.8159999999999998</v>
      </c>
      <c r="D358" s="81">
        <v>1.01E-2</v>
      </c>
      <c r="E358" s="81">
        <v>0</v>
      </c>
      <c r="F358" s="85">
        <v>29.84</v>
      </c>
      <c r="G358" s="86">
        <v>-7.8700000000000006E-2</v>
      </c>
      <c r="H358" s="86">
        <v>1.2699999999999999E-2</v>
      </c>
      <c r="I358" s="86">
        <v>0.27879999999999999</v>
      </c>
      <c r="J358" s="86">
        <v>0.35460000000000003</v>
      </c>
      <c r="K358" s="86">
        <v>0.91949999999999998</v>
      </c>
      <c r="L358" s="83">
        <v>1.51</v>
      </c>
      <c r="M358" s="81">
        <v>6.0000000000000001E-3</v>
      </c>
      <c r="N358" s="1" t="s">
        <v>798</v>
      </c>
      <c r="O358" s="82">
        <v>40256</v>
      </c>
      <c r="P358" s="1" t="s">
        <v>266</v>
      </c>
      <c r="Q358" s="1" t="s">
        <v>155</v>
      </c>
    </row>
    <row r="359" spans="1:17" x14ac:dyDescent="0.2">
      <c r="A359" s="1" t="s">
        <v>83</v>
      </c>
      <c r="B359" s="1">
        <v>159923</v>
      </c>
      <c r="C359" s="1">
        <v>2.3109999999999999</v>
      </c>
      <c r="D359" s="81">
        <v>6.1000000000000004E-3</v>
      </c>
      <c r="E359" s="81">
        <v>-5.5999999999999999E-3</v>
      </c>
      <c r="F359" s="85">
        <v>48.91</v>
      </c>
      <c r="G359" s="86">
        <v>-0.1084</v>
      </c>
      <c r="H359" s="86">
        <v>6.1000000000000004E-3</v>
      </c>
      <c r="I359" s="86">
        <v>0.33739999999999998</v>
      </c>
      <c r="J359" s="86">
        <v>0.35299999999999998</v>
      </c>
      <c r="K359" s="86">
        <v>1.0379</v>
      </c>
      <c r="L359" s="83">
        <v>0.23899999999999999</v>
      </c>
      <c r="M359" s="81">
        <v>6.0000000000000001E-3</v>
      </c>
      <c r="N359" s="1" t="s">
        <v>284</v>
      </c>
      <c r="O359" s="82">
        <v>41338</v>
      </c>
      <c r="P359" s="1" t="s">
        <v>358</v>
      </c>
      <c r="Q359" s="1" t="s">
        <v>155</v>
      </c>
    </row>
    <row r="360" spans="1:17" x14ac:dyDescent="0.2">
      <c r="A360" s="1" t="s">
        <v>799</v>
      </c>
      <c r="B360" s="1">
        <v>515670</v>
      </c>
      <c r="C360" s="1">
        <v>1.355</v>
      </c>
      <c r="D360" s="81">
        <v>1.2699999999999999E-2</v>
      </c>
      <c r="E360" s="81">
        <v>6.9999999999999999E-4</v>
      </c>
      <c r="F360" s="85">
        <v>23.64</v>
      </c>
      <c r="G360" s="86">
        <v>-0.1109</v>
      </c>
      <c r="H360" s="86">
        <v>-1.5E-3</v>
      </c>
      <c r="I360" s="86" t="s">
        <v>157</v>
      </c>
      <c r="J360" s="86" t="s">
        <v>157</v>
      </c>
      <c r="K360" s="86" t="s">
        <v>157</v>
      </c>
      <c r="L360" s="83">
        <v>1.39</v>
      </c>
      <c r="M360" s="81">
        <v>5.4000000000000003E-3</v>
      </c>
      <c r="N360" s="1" t="s">
        <v>284</v>
      </c>
      <c r="O360" s="82">
        <v>43971</v>
      </c>
      <c r="P360" s="1" t="s">
        <v>800</v>
      </c>
      <c r="Q360" s="1" t="s">
        <v>155</v>
      </c>
    </row>
    <row r="361" spans="1:17" x14ac:dyDescent="0.2">
      <c r="A361" s="1" t="s">
        <v>801</v>
      </c>
      <c r="B361" s="1">
        <v>159907</v>
      </c>
      <c r="C361" s="1">
        <v>1.792</v>
      </c>
      <c r="D361" s="81">
        <v>1.2999999999999999E-2</v>
      </c>
      <c r="E361" s="81">
        <v>5.5999999999999999E-3</v>
      </c>
      <c r="F361" s="85">
        <v>15.42</v>
      </c>
      <c r="G361" s="86">
        <v>-0.1027</v>
      </c>
      <c r="H361" s="86">
        <v>3.8999999999999998E-3</v>
      </c>
      <c r="I361" s="86">
        <v>0.21990000000000001</v>
      </c>
      <c r="J361" s="86">
        <v>0.19070000000000001</v>
      </c>
      <c r="K361" s="86">
        <v>0.45450000000000002</v>
      </c>
      <c r="L361" s="83">
        <v>1.48</v>
      </c>
      <c r="M361" s="81">
        <v>6.0000000000000001E-3</v>
      </c>
      <c r="N361" s="1" t="s">
        <v>802</v>
      </c>
      <c r="O361" s="82">
        <v>40765</v>
      </c>
      <c r="P361" s="1" t="s">
        <v>276</v>
      </c>
      <c r="Q361" s="1" t="s">
        <v>167</v>
      </c>
    </row>
    <row r="362" spans="1:17" x14ac:dyDescent="0.2">
      <c r="A362" s="1" t="s">
        <v>803</v>
      </c>
      <c r="B362" s="1">
        <v>510690</v>
      </c>
      <c r="C362" s="1">
        <v>1.1779999999999999</v>
      </c>
      <c r="D362" s="81">
        <v>1.03E-2</v>
      </c>
      <c r="E362" s="81">
        <v>-2.5000000000000001E-3</v>
      </c>
      <c r="F362" s="85">
        <v>37.46</v>
      </c>
      <c r="G362" s="86" t="s">
        <v>157</v>
      </c>
      <c r="H362" s="86">
        <v>2.7900000000000001E-2</v>
      </c>
      <c r="I362" s="86" t="s">
        <v>157</v>
      </c>
      <c r="J362" s="86" t="s">
        <v>157</v>
      </c>
      <c r="K362" s="86" t="s">
        <v>157</v>
      </c>
      <c r="L362" s="83">
        <v>0.624</v>
      </c>
      <c r="M362" s="81">
        <v>6.0000000000000001E-3</v>
      </c>
      <c r="N362" s="1" t="s">
        <v>397</v>
      </c>
      <c r="O362" s="82">
        <v>44004</v>
      </c>
      <c r="P362" s="1" t="s">
        <v>493</v>
      </c>
      <c r="Q362" s="1" t="s">
        <v>314</v>
      </c>
    </row>
    <row r="363" spans="1:17" x14ac:dyDescent="0.2">
      <c r="A363" s="1" t="s">
        <v>804</v>
      </c>
      <c r="B363" s="1">
        <v>510090</v>
      </c>
      <c r="C363" s="1">
        <v>2.5880000000000001</v>
      </c>
      <c r="D363" s="81">
        <v>-3.0999999999999999E-3</v>
      </c>
      <c r="E363" s="81">
        <v>3.56E-2</v>
      </c>
      <c r="F363" s="85">
        <v>7.69</v>
      </c>
      <c r="G363" s="86">
        <v>1.2500000000000001E-2</v>
      </c>
      <c r="H363" s="86">
        <v>9.11E-2</v>
      </c>
      <c r="I363" s="86">
        <v>0.32579999999999998</v>
      </c>
      <c r="J363" s="86">
        <v>0.54049999999999998</v>
      </c>
      <c r="K363" s="86">
        <v>1.0556000000000001</v>
      </c>
      <c r="L363" s="83">
        <v>0.85799999999999998</v>
      </c>
      <c r="M363" s="81">
        <v>6.0000000000000001E-3</v>
      </c>
      <c r="N363" s="1" t="s">
        <v>805</v>
      </c>
      <c r="O363" s="82">
        <v>40399</v>
      </c>
      <c r="P363" s="1" t="s">
        <v>327</v>
      </c>
      <c r="Q363" s="1" t="s">
        <v>570</v>
      </c>
    </row>
    <row r="364" spans="1:17" x14ac:dyDescent="0.2">
      <c r="A364" s="1" t="s">
        <v>806</v>
      </c>
      <c r="B364" s="1">
        <v>510220</v>
      </c>
      <c r="C364" s="1">
        <v>5.367</v>
      </c>
      <c r="D364" s="81">
        <v>4.1000000000000003E-3</v>
      </c>
      <c r="E364" s="81">
        <v>-4.5999999999999999E-3</v>
      </c>
      <c r="F364" s="85">
        <v>22.52</v>
      </c>
      <c r="G364" s="86">
        <v>-5.8400000000000001E-2</v>
      </c>
      <c r="H364" s="86">
        <v>-5.4000000000000003E-3</v>
      </c>
      <c r="I364" s="86">
        <v>0.2452</v>
      </c>
      <c r="J364" s="86">
        <v>0.2797</v>
      </c>
      <c r="K364" s="86">
        <v>0.45329999999999998</v>
      </c>
      <c r="L364" s="83">
        <v>0.23200000000000001</v>
      </c>
      <c r="M364" s="81">
        <v>6.0000000000000001E-3</v>
      </c>
      <c r="N364" s="1" t="s">
        <v>807</v>
      </c>
      <c r="O364" s="82">
        <v>40630</v>
      </c>
      <c r="P364" s="1" t="s">
        <v>154</v>
      </c>
      <c r="Q364" s="1" t="s">
        <v>167</v>
      </c>
    </row>
    <row r="365" spans="1:17" x14ac:dyDescent="0.2">
      <c r="A365" s="1" t="s">
        <v>28</v>
      </c>
      <c r="B365" s="1">
        <v>159964</v>
      </c>
      <c r="C365" s="1">
        <v>1.6579999999999999</v>
      </c>
      <c r="D365" s="81">
        <v>9.7000000000000003E-3</v>
      </c>
      <c r="E365" s="81">
        <v>-7.1999999999999998E-3</v>
      </c>
      <c r="F365" s="85">
        <v>25.19</v>
      </c>
      <c r="G365" s="86">
        <v>-0.18920000000000001</v>
      </c>
      <c r="H365" s="86">
        <v>-6.59E-2</v>
      </c>
      <c r="I365" s="86">
        <v>0.32750000000000001</v>
      </c>
      <c r="J365" s="86" t="s">
        <v>157</v>
      </c>
      <c r="K365" s="86" t="s">
        <v>157</v>
      </c>
      <c r="L365" s="83">
        <v>3.47</v>
      </c>
      <c r="M365" s="81">
        <v>2E-3</v>
      </c>
      <c r="N365" s="1" t="s">
        <v>618</v>
      </c>
      <c r="O365" s="82">
        <v>43574</v>
      </c>
      <c r="P365" s="1" t="s">
        <v>274</v>
      </c>
      <c r="Q365" s="1" t="s">
        <v>167</v>
      </c>
    </row>
    <row r="366" spans="1:17" x14ac:dyDescent="0.2">
      <c r="A366" s="1" t="s">
        <v>808</v>
      </c>
      <c r="B366" s="1">
        <v>159971</v>
      </c>
      <c r="C366" s="1">
        <v>1.8620000000000001</v>
      </c>
      <c r="D366" s="81">
        <v>5.0000000000000001E-4</v>
      </c>
      <c r="E366" s="81">
        <v>-4.7999999999999996E-3</v>
      </c>
      <c r="F366" s="85">
        <v>43.69</v>
      </c>
      <c r="G366" s="86">
        <v>-0.1953</v>
      </c>
      <c r="H366" s="86">
        <v>-7.8700000000000006E-2</v>
      </c>
      <c r="I366" s="86">
        <v>0.2913</v>
      </c>
      <c r="J366" s="86" t="s">
        <v>157</v>
      </c>
      <c r="K366" s="86" t="s">
        <v>157</v>
      </c>
      <c r="L366" s="83">
        <v>8.1000000000000003E-2</v>
      </c>
      <c r="M366" s="81">
        <v>4.0000000000000001E-3</v>
      </c>
      <c r="N366" s="1" t="s">
        <v>618</v>
      </c>
      <c r="O366" s="82">
        <v>43648</v>
      </c>
      <c r="P366" s="1" t="s">
        <v>232</v>
      </c>
      <c r="Q366" s="1" t="s">
        <v>167</v>
      </c>
    </row>
    <row r="367" spans="1:17" x14ac:dyDescent="0.2">
      <c r="A367" s="1" t="s">
        <v>93</v>
      </c>
      <c r="B367" s="1">
        <v>510270</v>
      </c>
      <c r="C367" s="1">
        <v>1.3779999999999999</v>
      </c>
      <c r="D367" s="81">
        <v>4.4000000000000003E-3</v>
      </c>
      <c r="E367" s="81">
        <v>-3.5999999999999999E-3</v>
      </c>
      <c r="F367" s="85">
        <v>9.11</v>
      </c>
      <c r="G367" s="86">
        <v>-5.6800000000000003E-2</v>
      </c>
      <c r="H367" s="86">
        <v>4.1599999999999998E-2</v>
      </c>
      <c r="I367" s="86">
        <v>0.2359</v>
      </c>
      <c r="J367" s="86">
        <v>0.17879999999999999</v>
      </c>
      <c r="K367" s="86">
        <v>0.57310000000000005</v>
      </c>
      <c r="L367" s="83">
        <v>0.14499999999999999</v>
      </c>
      <c r="M367" s="81">
        <v>6.0000000000000001E-3</v>
      </c>
      <c r="N367" s="1" t="s">
        <v>809</v>
      </c>
      <c r="O367" s="82">
        <v>40773</v>
      </c>
      <c r="P367" s="1" t="s">
        <v>800</v>
      </c>
      <c r="Q367" s="1" t="s">
        <v>810</v>
      </c>
    </row>
    <row r="368" spans="1:17" x14ac:dyDescent="0.2">
      <c r="A368" s="1" t="s">
        <v>811</v>
      </c>
      <c r="B368" s="1">
        <v>510440</v>
      </c>
      <c r="C368" s="1">
        <v>1.9870000000000001</v>
      </c>
      <c r="D368" s="81">
        <v>-5.4999999999999997E-3</v>
      </c>
      <c r="E368" s="81">
        <v>3.7600000000000001E-2</v>
      </c>
      <c r="F368" s="85">
        <v>23.11</v>
      </c>
      <c r="G368" s="86">
        <v>-1.5E-3</v>
      </c>
      <c r="H368" s="86">
        <v>3.27E-2</v>
      </c>
      <c r="I368" s="86">
        <v>0.23719999999999999</v>
      </c>
      <c r="J368" s="86">
        <v>0.1113</v>
      </c>
      <c r="K368" s="86">
        <v>0.17780000000000001</v>
      </c>
      <c r="L368" s="83">
        <v>0.39200000000000002</v>
      </c>
      <c r="M368" s="81">
        <v>6.0000000000000001E-3</v>
      </c>
      <c r="N368" s="1" t="s">
        <v>812</v>
      </c>
      <c r="O368" s="82">
        <v>41190</v>
      </c>
      <c r="P368" s="1" t="s">
        <v>358</v>
      </c>
      <c r="Q368" s="1" t="s">
        <v>167</v>
      </c>
    </row>
    <row r="369" spans="1:17" x14ac:dyDescent="0.2">
      <c r="A369" s="1" t="s">
        <v>813</v>
      </c>
      <c r="B369" s="1">
        <v>159933</v>
      </c>
      <c r="C369" s="1">
        <v>2.6</v>
      </c>
      <c r="D369" s="81">
        <v>4.1999999999999997E-3</v>
      </c>
      <c r="E369" s="81">
        <v>-7.3000000000000001E-3</v>
      </c>
      <c r="F369" s="85">
        <v>32.54</v>
      </c>
      <c r="G369" s="86">
        <v>-8.3999999999999995E-3</v>
      </c>
      <c r="H369" s="86">
        <v>1.6400000000000001E-2</v>
      </c>
      <c r="I369" s="86">
        <v>0.23219999999999999</v>
      </c>
      <c r="J369" s="86">
        <v>0.32990000000000003</v>
      </c>
      <c r="K369" s="86">
        <v>0.89370000000000005</v>
      </c>
      <c r="L369" s="83">
        <v>3.33</v>
      </c>
      <c r="M369" s="81">
        <v>7.3000000000000001E-3</v>
      </c>
      <c r="N369" s="1" t="s">
        <v>814</v>
      </c>
      <c r="O369" s="82">
        <v>41563</v>
      </c>
      <c r="P369" s="1" t="s">
        <v>815</v>
      </c>
      <c r="Q369" s="1" t="s">
        <v>218</v>
      </c>
    </row>
    <row r="370" spans="1:17" x14ac:dyDescent="0.2">
      <c r="A370" s="1" t="s">
        <v>816</v>
      </c>
      <c r="B370" s="1">
        <v>511280</v>
      </c>
      <c r="C370" s="1">
        <v>109.898</v>
      </c>
      <c r="D370" s="81">
        <v>0</v>
      </c>
      <c r="E370" s="81">
        <v>-1.5800000000000002E-2</v>
      </c>
      <c r="F370" s="85">
        <v>0.2198</v>
      </c>
      <c r="G370" s="86">
        <v>1.2200000000000001E-2</v>
      </c>
      <c r="H370" s="86">
        <v>-1.17E-2</v>
      </c>
      <c r="I370" s="86">
        <v>5.16E-2</v>
      </c>
      <c r="J370" s="86" t="s">
        <v>157</v>
      </c>
      <c r="K370" s="86" t="s">
        <v>157</v>
      </c>
      <c r="L370" s="83">
        <v>0.308</v>
      </c>
      <c r="M370" s="81">
        <v>3.3E-3</v>
      </c>
      <c r="N370" s="1" t="s">
        <v>817</v>
      </c>
      <c r="O370" s="82">
        <v>43251</v>
      </c>
      <c r="P370" s="1" t="s">
        <v>171</v>
      </c>
      <c r="Q370" s="1" t="s">
        <v>496</v>
      </c>
    </row>
    <row r="371" spans="1:17" x14ac:dyDescent="0.2">
      <c r="A371" s="1" t="s">
        <v>818</v>
      </c>
      <c r="B371" s="1">
        <v>512970</v>
      </c>
      <c r="C371" s="1">
        <v>1.4419999999999999</v>
      </c>
      <c r="D371" s="81">
        <v>2.8E-3</v>
      </c>
      <c r="E371" s="81">
        <v>1.4E-3</v>
      </c>
      <c r="F371" s="85">
        <v>24.53</v>
      </c>
      <c r="G371" s="86">
        <v>-0.1077</v>
      </c>
      <c r="H371" s="86">
        <v>-3.3500000000000002E-2</v>
      </c>
      <c r="I371" s="86">
        <v>0.35649999999999998</v>
      </c>
      <c r="J371" s="86" t="s">
        <v>157</v>
      </c>
      <c r="K371" s="86" t="s">
        <v>157</v>
      </c>
      <c r="L371" s="83">
        <v>4.38</v>
      </c>
      <c r="M371" s="81">
        <v>2E-3</v>
      </c>
      <c r="N371" s="1" t="s">
        <v>819</v>
      </c>
      <c r="O371" s="82">
        <v>43780</v>
      </c>
      <c r="P371" s="1" t="s">
        <v>274</v>
      </c>
      <c r="Q371" s="1" t="s">
        <v>425</v>
      </c>
    </row>
    <row r="372" spans="1:17" x14ac:dyDescent="0.2">
      <c r="A372" s="1" t="s">
        <v>820</v>
      </c>
      <c r="B372" s="1">
        <v>159973</v>
      </c>
      <c r="C372" s="1">
        <v>1.748</v>
      </c>
      <c r="D372" s="81">
        <v>4.0000000000000001E-3</v>
      </c>
      <c r="E372" s="81">
        <v>-3.3999999999999998E-3</v>
      </c>
      <c r="F372" s="85">
        <v>15.3</v>
      </c>
      <c r="G372" s="86">
        <v>-0.193</v>
      </c>
      <c r="H372" s="86">
        <v>-5.9700000000000003E-2</v>
      </c>
      <c r="I372" s="86">
        <v>0.38179999999999997</v>
      </c>
      <c r="J372" s="86" t="s">
        <v>157</v>
      </c>
      <c r="K372" s="86" t="s">
        <v>157</v>
      </c>
      <c r="L372" s="83">
        <v>7.03</v>
      </c>
      <c r="M372" s="81">
        <v>5.0000000000000001E-3</v>
      </c>
      <c r="N372" s="1" t="s">
        <v>821</v>
      </c>
      <c r="O372" s="82">
        <v>43686</v>
      </c>
      <c r="P372" s="1" t="s">
        <v>454</v>
      </c>
      <c r="Q372" s="1" t="s">
        <v>822</v>
      </c>
    </row>
    <row r="373" spans="1:17" x14ac:dyDescent="0.2">
      <c r="A373" s="1" t="s">
        <v>823</v>
      </c>
      <c r="B373" s="1">
        <v>510890</v>
      </c>
      <c r="C373" s="1">
        <v>1.1180000000000001</v>
      </c>
      <c r="D373" s="81">
        <v>1.4500000000000001E-2</v>
      </c>
      <c r="E373" s="81">
        <v>-8.9999999999999998E-4</v>
      </c>
      <c r="F373" s="85">
        <v>23.47</v>
      </c>
      <c r="G373" s="86">
        <v>6.1699999999999998E-2</v>
      </c>
      <c r="H373" s="86">
        <v>4.58E-2</v>
      </c>
      <c r="I373" s="86">
        <v>0.15620000000000001</v>
      </c>
      <c r="J373" s="86" t="s">
        <v>157</v>
      </c>
      <c r="K373" s="86" t="s">
        <v>157</v>
      </c>
      <c r="L373" s="83">
        <v>2.94</v>
      </c>
      <c r="M373" s="81">
        <v>6.0000000000000001E-3</v>
      </c>
      <c r="N373" s="1" t="s">
        <v>824</v>
      </c>
      <c r="O373" s="82">
        <v>43640</v>
      </c>
      <c r="P373" s="1" t="s">
        <v>493</v>
      </c>
      <c r="Q373" s="1" t="s">
        <v>647</v>
      </c>
    </row>
    <row r="374" spans="1:17" x14ac:dyDescent="0.2">
      <c r="A374" s="1" t="s">
        <v>825</v>
      </c>
      <c r="B374" s="1">
        <v>515820</v>
      </c>
      <c r="C374" s="1">
        <v>1.304</v>
      </c>
      <c r="D374" s="81">
        <v>6.8999999999999999E-3</v>
      </c>
      <c r="E374" s="81">
        <v>-1.5E-3</v>
      </c>
      <c r="F374" s="85">
        <v>38.65</v>
      </c>
      <c r="G374" s="86">
        <v>-9.3799999999999994E-2</v>
      </c>
      <c r="H374" s="86">
        <v>-1.5E-3</v>
      </c>
      <c r="I374" s="86" t="s">
        <v>157</v>
      </c>
      <c r="J374" s="86" t="s">
        <v>157</v>
      </c>
      <c r="K374" s="86" t="s">
        <v>157</v>
      </c>
      <c r="L374" s="83">
        <v>1.6</v>
      </c>
      <c r="M374" s="81">
        <v>2E-3</v>
      </c>
      <c r="N374" s="1" t="s">
        <v>533</v>
      </c>
      <c r="O374" s="82">
        <v>43980</v>
      </c>
      <c r="P374" s="1" t="s">
        <v>232</v>
      </c>
      <c r="Q374" s="1" t="s">
        <v>503</v>
      </c>
    </row>
    <row r="375" spans="1:17" x14ac:dyDescent="0.2">
      <c r="A375" s="1" t="s">
        <v>826</v>
      </c>
      <c r="B375" s="1">
        <v>515830</v>
      </c>
      <c r="C375" s="1">
        <v>5.351</v>
      </c>
      <c r="D375" s="81">
        <v>7.7000000000000002E-3</v>
      </c>
      <c r="E375" s="81">
        <v>-1.6999999999999999E-3</v>
      </c>
      <c r="F375" s="85">
        <v>22.59</v>
      </c>
      <c r="G375" s="86">
        <v>-9.06E-2</v>
      </c>
      <c r="H375" s="86">
        <v>-6.8999999999999999E-3</v>
      </c>
      <c r="I375" s="86" t="s">
        <v>157</v>
      </c>
      <c r="J375" s="86" t="s">
        <v>157</v>
      </c>
      <c r="K375" s="86" t="s">
        <v>157</v>
      </c>
      <c r="L375" s="83">
        <v>0.441</v>
      </c>
      <c r="M375" s="81">
        <v>5.1999999999999998E-3</v>
      </c>
      <c r="N375" s="1" t="s">
        <v>533</v>
      </c>
      <c r="O375" s="82">
        <v>44029</v>
      </c>
      <c r="P375" s="1" t="s">
        <v>319</v>
      </c>
      <c r="Q375" s="1" t="s">
        <v>503</v>
      </c>
    </row>
    <row r="376" spans="1:17" x14ac:dyDescent="0.2">
      <c r="A376" s="1" t="s">
        <v>827</v>
      </c>
      <c r="B376" s="1">
        <v>515610</v>
      </c>
      <c r="C376" s="1">
        <v>1.042</v>
      </c>
      <c r="D376" s="81">
        <v>2.8999999999999998E-3</v>
      </c>
      <c r="E376" s="81">
        <v>-8.6E-3</v>
      </c>
      <c r="F376" s="85">
        <v>36.130000000000003</v>
      </c>
      <c r="G376" s="86">
        <v>-0.1033</v>
      </c>
      <c r="H376" s="86">
        <v>-2.1600000000000001E-2</v>
      </c>
      <c r="I376" s="86" t="s">
        <v>157</v>
      </c>
      <c r="J376" s="86" t="s">
        <v>157</v>
      </c>
      <c r="K376" s="86" t="s">
        <v>157</v>
      </c>
      <c r="L376" s="83">
        <v>0.67300000000000004</v>
      </c>
      <c r="M376" s="81">
        <v>5.0000000000000001E-3</v>
      </c>
      <c r="N376" s="1" t="s">
        <v>533</v>
      </c>
      <c r="O376" s="82">
        <v>44061</v>
      </c>
      <c r="P376" s="1" t="s">
        <v>800</v>
      </c>
      <c r="Q376" s="1" t="s">
        <v>503</v>
      </c>
    </row>
    <row r="377" spans="1:17" x14ac:dyDescent="0.2">
      <c r="A377" s="1" t="s">
        <v>828</v>
      </c>
      <c r="B377" s="1">
        <v>511060</v>
      </c>
      <c r="C377" s="1">
        <v>99.7</v>
      </c>
      <c r="D377" s="81">
        <v>0</v>
      </c>
      <c r="E377" s="81">
        <v>0</v>
      </c>
      <c r="F377" s="85">
        <v>21.91</v>
      </c>
      <c r="G377" s="86">
        <v>2.0000000000000001E-4</v>
      </c>
      <c r="H377" s="86">
        <v>-2.8E-3</v>
      </c>
      <c r="I377" s="86">
        <v>3.2000000000000002E-3</v>
      </c>
      <c r="J377" s="86" t="s">
        <v>157</v>
      </c>
      <c r="K377" s="86" t="s">
        <v>157</v>
      </c>
      <c r="L377" s="83">
        <v>5.57</v>
      </c>
      <c r="M377" s="81">
        <v>2E-3</v>
      </c>
      <c r="N377" s="1" t="s">
        <v>829</v>
      </c>
      <c r="O377" s="82">
        <v>43811</v>
      </c>
      <c r="P377" s="1" t="s">
        <v>422</v>
      </c>
      <c r="Q377" s="1" t="s">
        <v>600</v>
      </c>
    </row>
    <row r="378" spans="1:17" x14ac:dyDescent="0.2">
      <c r="A378" s="1" t="s">
        <v>830</v>
      </c>
      <c r="B378" s="1">
        <v>159974</v>
      </c>
      <c r="C378" s="1">
        <v>1.107</v>
      </c>
      <c r="D378" s="81">
        <v>1.37E-2</v>
      </c>
      <c r="E378" s="81">
        <v>-5.4000000000000003E-3</v>
      </c>
      <c r="F378" s="85">
        <v>2.93</v>
      </c>
      <c r="G378" s="86">
        <v>-5.4000000000000003E-3</v>
      </c>
      <c r="H378" s="86">
        <v>3.3599999999999998E-2</v>
      </c>
      <c r="I378" s="86">
        <v>0.1472</v>
      </c>
      <c r="J378" s="86" t="s">
        <v>157</v>
      </c>
      <c r="K378" s="86" t="s">
        <v>157</v>
      </c>
      <c r="L378" s="83">
        <v>4.8099999999999996</v>
      </c>
      <c r="M378" s="81">
        <v>2E-3</v>
      </c>
      <c r="N378" s="1" t="s">
        <v>575</v>
      </c>
      <c r="O378" s="82">
        <v>43817</v>
      </c>
      <c r="P378" s="1" t="s">
        <v>232</v>
      </c>
      <c r="Q378" s="1" t="s">
        <v>485</v>
      </c>
    </row>
    <row r="379" spans="1:17" x14ac:dyDescent="0.2">
      <c r="A379" s="1" t="s">
        <v>831</v>
      </c>
      <c r="B379" s="1">
        <v>515600</v>
      </c>
      <c r="C379" s="1">
        <v>1.0669999999999999</v>
      </c>
      <c r="D379" s="81">
        <v>2.01E-2</v>
      </c>
      <c r="E379" s="81">
        <v>0</v>
      </c>
      <c r="F379" s="85">
        <v>22.34</v>
      </c>
      <c r="G379" s="86">
        <v>-2.8E-3</v>
      </c>
      <c r="H379" s="86">
        <v>3.2899999999999999E-2</v>
      </c>
      <c r="I379" s="86">
        <v>0.14119999999999999</v>
      </c>
      <c r="J379" s="86" t="s">
        <v>157</v>
      </c>
      <c r="K379" s="86" t="s">
        <v>157</v>
      </c>
      <c r="L379" s="83">
        <v>22.61</v>
      </c>
      <c r="M379" s="81">
        <v>2E-3</v>
      </c>
      <c r="N379" s="1" t="s">
        <v>575</v>
      </c>
      <c r="O379" s="82">
        <v>43817</v>
      </c>
      <c r="P379" s="1" t="s">
        <v>276</v>
      </c>
      <c r="Q379" s="1" t="s">
        <v>485</v>
      </c>
    </row>
    <row r="380" spans="1:17" x14ac:dyDescent="0.2">
      <c r="A380" s="1" t="s">
        <v>832</v>
      </c>
      <c r="B380" s="1">
        <v>515680</v>
      </c>
      <c r="C380" s="1">
        <v>1.071</v>
      </c>
      <c r="D380" s="81">
        <v>1.23E-2</v>
      </c>
      <c r="E380" s="81">
        <v>-1.11E-2</v>
      </c>
      <c r="F380" s="85">
        <v>49.78</v>
      </c>
      <c r="G380" s="86">
        <v>-1.6500000000000001E-2</v>
      </c>
      <c r="H380" s="86">
        <v>0.02</v>
      </c>
      <c r="I380" s="86">
        <v>0.1203</v>
      </c>
      <c r="J380" s="86" t="s">
        <v>157</v>
      </c>
      <c r="K380" s="86" t="s">
        <v>157</v>
      </c>
      <c r="L380" s="83">
        <v>31.64</v>
      </c>
      <c r="M380" s="81">
        <v>2E-3</v>
      </c>
      <c r="N380" s="1" t="s">
        <v>575</v>
      </c>
      <c r="O380" s="82">
        <v>43817</v>
      </c>
      <c r="P380" s="1" t="s">
        <v>435</v>
      </c>
      <c r="Q380" s="1" t="s">
        <v>485</v>
      </c>
    </row>
    <row r="381" spans="1:17" x14ac:dyDescent="0.2">
      <c r="A381" s="1" t="s">
        <v>833</v>
      </c>
      <c r="B381" s="1">
        <v>159979</v>
      </c>
      <c r="C381" s="1">
        <v>1.321</v>
      </c>
      <c r="D381" s="81">
        <v>7.6E-3</v>
      </c>
      <c r="E381" s="81">
        <v>-1.5E-3</v>
      </c>
      <c r="F381" s="85">
        <v>38.44</v>
      </c>
      <c r="G381" s="86">
        <v>-8.8300000000000003E-2</v>
      </c>
      <c r="H381" s="86">
        <v>6.8999999999999999E-3</v>
      </c>
      <c r="I381" s="86">
        <v>0.35489999999999999</v>
      </c>
      <c r="J381" s="86" t="s">
        <v>157</v>
      </c>
      <c r="K381" s="86" t="s">
        <v>157</v>
      </c>
      <c r="L381" s="83">
        <v>0.71</v>
      </c>
      <c r="M381" s="81">
        <v>4.0000000000000001E-3</v>
      </c>
      <c r="N381" s="1" t="s">
        <v>424</v>
      </c>
      <c r="O381" s="82">
        <v>43875</v>
      </c>
      <c r="P381" s="1" t="s">
        <v>276</v>
      </c>
      <c r="Q381" s="1" t="s">
        <v>425</v>
      </c>
    </row>
    <row r="382" spans="1:17" x14ac:dyDescent="0.2">
      <c r="A382" s="1" t="s">
        <v>99</v>
      </c>
      <c r="B382" s="1">
        <v>159978</v>
      </c>
      <c r="C382" s="1">
        <v>1.3140000000000001</v>
      </c>
      <c r="D382" s="81">
        <v>-8.0000000000000004E-4</v>
      </c>
      <c r="E382" s="81">
        <v>-1.5E-3</v>
      </c>
      <c r="F382" s="85">
        <v>34.200000000000003</v>
      </c>
      <c r="G382" s="86">
        <v>-6.6100000000000006E-2</v>
      </c>
      <c r="H382" s="86">
        <v>1.3899999999999999E-2</v>
      </c>
      <c r="I382" s="86" t="s">
        <v>157</v>
      </c>
      <c r="J382" s="86" t="s">
        <v>157</v>
      </c>
      <c r="K382" s="86" t="s">
        <v>157</v>
      </c>
      <c r="L382" s="83">
        <v>0.66300000000000003</v>
      </c>
      <c r="M382" s="81">
        <v>4.0000000000000001E-3</v>
      </c>
      <c r="N382" s="1" t="s">
        <v>834</v>
      </c>
      <c r="O382" s="82">
        <v>43935</v>
      </c>
      <c r="P382" s="1" t="s">
        <v>327</v>
      </c>
      <c r="Q382" s="1" t="s">
        <v>425</v>
      </c>
    </row>
    <row r="383" spans="1:17" x14ac:dyDescent="0.2">
      <c r="A383" s="1" t="s">
        <v>835</v>
      </c>
      <c r="B383" s="1">
        <v>159803</v>
      </c>
      <c r="C383" s="1">
        <v>1.2889999999999999</v>
      </c>
      <c r="D383" s="81">
        <v>7.0000000000000001E-3</v>
      </c>
      <c r="E383" s="81">
        <v>-1.0699999999999999E-2</v>
      </c>
      <c r="F383" s="85">
        <v>13.41</v>
      </c>
      <c r="G383" s="86">
        <v>-0.10489999999999999</v>
      </c>
      <c r="H383" s="86">
        <v>1.26E-2</v>
      </c>
      <c r="I383" s="86" t="s">
        <v>157</v>
      </c>
      <c r="J383" s="86" t="s">
        <v>157</v>
      </c>
      <c r="K383" s="86" t="s">
        <v>157</v>
      </c>
      <c r="L383" s="83">
        <v>0.22</v>
      </c>
      <c r="M383" s="81">
        <v>6.4999999999999997E-3</v>
      </c>
      <c r="N383" s="1" t="s">
        <v>836</v>
      </c>
      <c r="O383" s="82">
        <v>43977</v>
      </c>
      <c r="P383" s="1" t="s">
        <v>208</v>
      </c>
      <c r="Q383" s="1" t="s">
        <v>728</v>
      </c>
    </row>
    <row r="384" spans="1:17" x14ac:dyDescent="0.2">
      <c r="A384" s="1" t="s">
        <v>837</v>
      </c>
      <c r="B384" s="1">
        <v>515510</v>
      </c>
      <c r="C384" s="1">
        <v>1.33</v>
      </c>
      <c r="D384" s="81">
        <v>1.5E-3</v>
      </c>
      <c r="E384" s="81">
        <v>-5.1999999999999998E-3</v>
      </c>
      <c r="F384" s="85">
        <v>34.9</v>
      </c>
      <c r="G384" s="86">
        <v>-4.1799999999999997E-2</v>
      </c>
      <c r="H384" s="86">
        <v>-2.3E-3</v>
      </c>
      <c r="I384" s="86" t="s">
        <v>157</v>
      </c>
      <c r="J384" s="86" t="s">
        <v>157</v>
      </c>
      <c r="K384" s="86" t="s">
        <v>157</v>
      </c>
      <c r="L384" s="83">
        <v>0.26</v>
      </c>
      <c r="M384" s="81">
        <v>6.0000000000000001E-3</v>
      </c>
      <c r="N384" s="1" t="s">
        <v>838</v>
      </c>
      <c r="O384" s="82">
        <v>43957</v>
      </c>
      <c r="P384" s="1" t="s">
        <v>435</v>
      </c>
      <c r="Q384" s="1" t="s">
        <v>839</v>
      </c>
    </row>
    <row r="385" spans="1:17" x14ac:dyDescent="0.2">
      <c r="A385" s="1" t="s">
        <v>840</v>
      </c>
      <c r="B385" s="1">
        <v>511050</v>
      </c>
      <c r="C385" s="1">
        <v>95.777000000000001</v>
      </c>
      <c r="D385" s="81">
        <v>-2.0000000000000001E-4</v>
      </c>
      <c r="E385" s="81">
        <v>0</v>
      </c>
      <c r="F385" s="85">
        <v>9.7200000000000006</v>
      </c>
      <c r="G385" s="86">
        <v>-1.4800000000000001E-2</v>
      </c>
      <c r="H385" s="86">
        <v>-1.6E-2</v>
      </c>
      <c r="I385" s="86" t="s">
        <v>157</v>
      </c>
      <c r="J385" s="86" t="s">
        <v>157</v>
      </c>
      <c r="K385" s="86" t="s">
        <v>157</v>
      </c>
      <c r="L385" s="83">
        <v>4.0199999999999996</v>
      </c>
      <c r="M385" s="81">
        <v>3.5000000000000001E-3</v>
      </c>
      <c r="N385" s="1" t="s">
        <v>841</v>
      </c>
      <c r="O385" s="82">
        <v>44042</v>
      </c>
      <c r="P385" s="1" t="s">
        <v>493</v>
      </c>
      <c r="Q385" s="1" t="s">
        <v>678</v>
      </c>
    </row>
    <row r="386" spans="1:17" x14ac:dyDescent="0.2">
      <c r="A386" s="1" t="s">
        <v>842</v>
      </c>
      <c r="B386" s="1">
        <v>511000</v>
      </c>
      <c r="C386" s="1">
        <v>98.6</v>
      </c>
      <c r="D386" s="81">
        <v>0</v>
      </c>
      <c r="E386" s="81">
        <v>0</v>
      </c>
      <c r="F386" s="85">
        <v>0.1166</v>
      </c>
      <c r="G386" s="86">
        <v>-4.0000000000000001E-3</v>
      </c>
      <c r="H386" s="86">
        <v>-1.4E-2</v>
      </c>
      <c r="I386" s="86" t="s">
        <v>157</v>
      </c>
      <c r="J386" s="86" t="s">
        <v>157</v>
      </c>
      <c r="K386" s="86" t="s">
        <v>157</v>
      </c>
      <c r="L386" s="83">
        <v>0.628</v>
      </c>
      <c r="M386" s="81">
        <v>2E-3</v>
      </c>
      <c r="N386" s="1" t="s">
        <v>843</v>
      </c>
      <c r="O386" s="82">
        <v>44133</v>
      </c>
      <c r="P386" s="1" t="s">
        <v>361</v>
      </c>
      <c r="Q386" s="1" t="s">
        <v>600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5F1360-85DD-4CF9-827D-18C9F193A9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再平衡</vt:lpstr>
      <vt:lpstr>收益率</vt:lpstr>
      <vt:lpstr>交易记录</vt:lpstr>
      <vt:lpstr>再平衡规则</vt:lpstr>
      <vt:lpstr>最新指数ETF列表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2021-03-14T08:44:42Z</dcterms:modified>
</cp:coreProperties>
</file>