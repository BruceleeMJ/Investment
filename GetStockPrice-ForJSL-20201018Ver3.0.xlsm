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GithubProjects\Investment\"/>
    </mc:Choice>
  </mc:AlternateContent>
  <xr:revisionPtr revIDLastSave="0" documentId="13_ncr:1_{C0EEB7BB-8757-47CE-9AD3-CCD7E3E692A2}" xr6:coauthVersionLast="46" xr6:coauthVersionMax="46" xr10:uidLastSave="{00000000-0000-0000-0000-000000000000}"/>
  <bookViews>
    <workbookView xWindow="-120" yWindow="-120" windowWidth="29040" windowHeight="15840" tabRatio="861" xr2:uid="{00000000-000D-0000-FFFF-FFFF00000000}"/>
  </bookViews>
  <sheets>
    <sheet name="VBA" sheetId="53" r:id="rId1"/>
  </sheets>
  <calcPr calcId="181029"/>
</workbook>
</file>

<file path=xl/calcChain.xml><?xml version="1.0" encoding="utf-8"?>
<calcChain xmlns="http://schemas.openxmlformats.org/spreadsheetml/2006/main">
  <c r="D15" i="53" l="1"/>
  <c r="I5" i="53"/>
  <c r="B2" i="53"/>
  <c r="C6" i="53"/>
  <c r="B15" i="53"/>
  <c r="C3" i="53"/>
  <c r="B3" i="53"/>
  <c r="C15" i="53"/>
  <c r="C12" i="53"/>
  <c r="B12" i="53"/>
  <c r="G5" i="53"/>
  <c r="F5" i="53"/>
  <c r="C5" i="53"/>
  <c r="C2" i="53"/>
  <c r="F3" i="53"/>
  <c r="G3" i="53"/>
  <c r="C9" i="53"/>
  <c r="C11" i="53"/>
  <c r="I3" i="53"/>
  <c r="B8" i="53"/>
  <c r="H3" i="53"/>
  <c r="B11" i="53"/>
  <c r="B5" i="53"/>
  <c r="B9" i="53"/>
  <c r="B6" i="53"/>
  <c r="C8" i="53"/>
  <c r="H5" i="53"/>
  <c r="D6" i="53" l="1"/>
  <c r="E6" i="53" s="1"/>
  <c r="D5" i="53"/>
  <c r="E5" i="53" s="1"/>
  <c r="D8" i="53"/>
  <c r="E8" i="53" s="1"/>
  <c r="D11" i="53"/>
  <c r="E11" i="53" s="1"/>
  <c r="D9" i="53"/>
  <c r="E9" i="53" s="1"/>
  <c r="D12" i="53"/>
  <c r="E12" i="53" s="1"/>
  <c r="D3" i="53"/>
  <c r="E3" i="53" s="1"/>
  <c r="D2" i="53"/>
  <c r="E2" i="53" s="1"/>
</calcChain>
</file>

<file path=xl/sharedStrings.xml><?xml version="1.0" encoding="utf-8"?>
<sst xmlns="http://schemas.openxmlformats.org/spreadsheetml/2006/main" count="31" uniqueCount="31">
  <si>
    <t>当前价</t>
  </si>
  <si>
    <t>昨收盘</t>
  </si>
  <si>
    <t>涨跌</t>
  </si>
  <si>
    <t>涨跌幅度</t>
  </si>
  <si>
    <t>开盘价</t>
  </si>
  <si>
    <t>单日最高价</t>
  </si>
  <si>
    <t>当日最低价</t>
  </si>
  <si>
    <t>当日成交额(万元)</t>
  </si>
  <si>
    <t>上证指数</t>
  </si>
  <si>
    <t>深证综指</t>
  </si>
  <si>
    <t>中国银行</t>
  </si>
  <si>
    <t>光大银行</t>
  </si>
  <si>
    <t>兴业银行</t>
  </si>
  <si>
    <t>平安银行</t>
  </si>
  <si>
    <t>中信银行H股</t>
  </si>
  <si>
    <t>说明：</t>
  </si>
  <si>
    <t>1、股票行情使用新浪行情接口完成。上面黄色的6列就是从网上抓取的。</t>
  </si>
  <si>
    <r>
      <t>2、举例：以</t>
    </r>
    <r>
      <rPr>
        <sz val="12"/>
        <rFont val="宋体"/>
        <family val="3"/>
        <charset val="134"/>
      </rPr>
      <t>B5</t>
    </r>
    <r>
      <rPr>
        <sz val="12"/>
        <rFont val="宋体"/>
        <family val="3"/>
        <charset val="134"/>
      </rPr>
      <t>格子中国银行为例，格子里面填的是=getStockPrice("sh601988")，一看就明白</t>
    </r>
  </si>
  <si>
    <t>3、定时功能：可以选择运行宏mycalc，可以30秒定时刷新。如果不需要定时功能，也可以手工触发刷新（在excel上找个空格，按下键盘delete即可触发刷新）。</t>
  </si>
  <si>
    <t>4、如果有能力写VBA的，研究下excel里面的VBA代码，基本上所有需要的股票数据都能提取。</t>
  </si>
  <si>
    <t>5、本xls作者信息：wangliang99@jisilu</t>
  </si>
  <si>
    <t>6、致谢：这个方法参考了jisilu里面很多同学的帖子，特别感谢islq同学在https://www.jisilu.cn/question/2230帖子里面提供的excel样例</t>
  </si>
  <si>
    <r>
      <t>版本升级说明（2</t>
    </r>
    <r>
      <rPr>
        <sz val="12"/>
        <rFont val="宋体"/>
        <family val="3"/>
        <charset val="134"/>
      </rPr>
      <t>020.10.18发布3.0版本</t>
    </r>
    <r>
      <rPr>
        <sz val="12"/>
        <rFont val="宋体"/>
        <family val="3"/>
        <charset val="134"/>
      </rPr>
      <t>）</t>
    </r>
    <phoneticPr fontId="1" type="noConversion"/>
  </si>
  <si>
    <t>场外基金（以340001为例）</t>
    <phoneticPr fontId="1" type="noConversion"/>
  </si>
  <si>
    <t>场内基金（以深交所163417为例）</t>
    <phoneticPr fontId="1" type="noConversion"/>
  </si>
  <si>
    <t>累计净值</t>
    <phoneticPr fontId="1" type="noConversion"/>
  </si>
  <si>
    <t>T-1净值</t>
    <phoneticPr fontId="1" type="noConversion"/>
  </si>
  <si>
    <r>
      <t>T</t>
    </r>
    <r>
      <rPr>
        <sz val="12"/>
        <rFont val="宋体"/>
        <family val="3"/>
        <charset val="134"/>
      </rPr>
      <t>-2净值</t>
    </r>
    <phoneticPr fontId="1" type="noConversion"/>
  </si>
  <si>
    <t>1、给出场内基金行情抓取模板。针对场内基金行情抓取，本次没有改变代码，仅仅增加了第12行的模板。场内基金行情抓取等同于股票，上面第12行以163417兴全合宜为例给出了模板。</t>
    <phoneticPr fontId="1" type="noConversion"/>
  </si>
  <si>
    <t>2、修改代码增加场外基金行情抓取功能，可以抓取昨日(T-1)净值、累计净值、T-2日净值3个数据。场外基金行情抓取的是的基金净值（特别注意，如果不清楚基金净值和基金交易价格的同学请百度下）。第15行给出了模板</t>
    <phoneticPr fontId="1" type="noConversion"/>
  </si>
  <si>
    <t>7、2020年3月，根据jisilu网友要求，增加了4个功能函数（开盘价/最高价/最低价/成交总量），分别命名为getOpenStockPrice( ),getMaxStockPrice( ),getMinStockPrice( ),getTradeVolume( )，使用示例参见表格F3\G3\H3\I3格子。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</si>
</sst>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);[Red]\(0.0\)"/>
    <numFmt numFmtId="177" formatCode="0.0_ "/>
  </numFmts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0" borderId="5" xfId="0" applyFont="1" applyBorder="1">
      <alignment vertical="center"/>
    </xf>
    <xf numFmtId="176" fontId="0" fillId="2" borderId="6" xfId="0" applyNumberFormat="1" applyFill="1" applyBorder="1">
      <alignment vertical="center"/>
    </xf>
    <xf numFmtId="177" fontId="0" fillId="0" borderId="6" xfId="0" applyNumberFormat="1" applyFill="1" applyBorder="1">
      <alignment vertical="center"/>
    </xf>
    <xf numFmtId="10" fontId="0" fillId="0" borderId="7" xfId="0" applyNumberFormat="1" applyBorder="1">
      <alignment vertical="center"/>
    </xf>
    <xf numFmtId="0" fontId="0" fillId="2" borderId="4" xfId="0" applyFill="1" applyBorder="1">
      <alignment vertical="center"/>
    </xf>
    <xf numFmtId="0" fontId="0" fillId="0" borderId="8" xfId="0" applyFont="1" applyBorder="1">
      <alignment vertical="center"/>
    </xf>
    <xf numFmtId="176" fontId="0" fillId="2" borderId="4" xfId="0" applyNumberFormat="1" applyFill="1" applyBorder="1">
      <alignment vertical="center"/>
    </xf>
    <xf numFmtId="177" fontId="0" fillId="0" borderId="4" xfId="0" applyNumberFormat="1" applyFill="1" applyBorder="1">
      <alignment vertical="center"/>
    </xf>
    <xf numFmtId="10" fontId="0" fillId="0" borderId="9" xfId="0" applyNumberFormat="1" applyBorder="1">
      <alignment vertical="center"/>
    </xf>
    <xf numFmtId="0" fontId="0" fillId="0" borderId="8" xfId="0" applyBorder="1">
      <alignment vertical="center"/>
    </xf>
    <xf numFmtId="177" fontId="0" fillId="2" borderId="4" xfId="0" applyNumberFormat="1" applyFill="1" applyBorder="1">
      <alignment vertical="center"/>
    </xf>
    <xf numFmtId="0" fontId="0" fillId="0" borderId="4" xfId="0" applyFill="1" applyBorder="1">
      <alignment vertical="center"/>
    </xf>
    <xf numFmtId="0" fontId="0" fillId="0" borderId="9" xfId="0" applyBorder="1">
      <alignment vertical="center"/>
    </xf>
    <xf numFmtId="0" fontId="0" fillId="0" borderId="0" xfId="0" applyFont="1">
      <alignment vertical="center"/>
    </xf>
    <xf numFmtId="0" fontId="2" fillId="0" borderId="0" xfId="0" applyFont="1">
      <alignment vertical="center"/>
    </xf>
    <xf numFmtId="0" fontId="2" fillId="0" borderId="10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"/>
  <sheetViews>
    <sheetView tabSelected="1" workbookViewId="0">
      <selection activeCell="J15" sqref="J15"/>
    </sheetView>
  </sheetViews>
  <sheetFormatPr defaultRowHeight="14.25" x14ac:dyDescent="0.15"/>
  <cols>
    <col min="1" max="1" width="30.75" customWidth="1"/>
    <col min="2" max="2" width="9.625" bestFit="1" customWidth="1"/>
    <col min="3" max="3" width="9.5" bestFit="1" customWidth="1"/>
    <col min="4" max="4" width="9.125" bestFit="1" customWidth="1"/>
    <col min="7" max="7" width="12.625" customWidth="1"/>
    <col min="8" max="8" width="12.875" customWidth="1"/>
    <col min="9" max="9" width="17.25" customWidth="1"/>
  </cols>
  <sheetData>
    <row r="1" spans="1:9" x14ac:dyDescent="0.15">
      <c r="A1" s="1"/>
      <c r="B1" s="2" t="s">
        <v>0</v>
      </c>
      <c r="C1" s="2" t="s">
        <v>1</v>
      </c>
      <c r="D1" s="2" t="s">
        <v>2</v>
      </c>
      <c r="E1" s="3" t="s">
        <v>3</v>
      </c>
      <c r="F1" s="4" t="s">
        <v>4</v>
      </c>
      <c r="G1" s="4" t="s">
        <v>5</v>
      </c>
      <c r="H1" s="4" t="s">
        <v>6</v>
      </c>
      <c r="I1" s="4" t="s">
        <v>7</v>
      </c>
    </row>
    <row r="2" spans="1:9" x14ac:dyDescent="0.15">
      <c r="A2" s="5" t="s">
        <v>8</v>
      </c>
      <c r="B2" s="6" t="e">
        <f ca="1">getStockPrice("sh000001")</f>
        <v>#NAME?</v>
      </c>
      <c r="C2" s="6" t="e">
        <f ca="1">getLastDayStockPrice("sh000001")</f>
        <v>#NAME?</v>
      </c>
      <c r="D2" s="7" t="e">
        <f ca="1">B2-C2</f>
        <v>#NAME?</v>
      </c>
      <c r="E2" s="8" t="e">
        <f ca="1">D2/B2</f>
        <v>#NAME?</v>
      </c>
      <c r="F2" s="9"/>
      <c r="G2" s="9"/>
      <c r="H2" s="9"/>
      <c r="I2" s="9"/>
    </row>
    <row r="3" spans="1:9" x14ac:dyDescent="0.15">
      <c r="A3" s="10" t="s">
        <v>9</v>
      </c>
      <c r="B3" s="11" t="e">
        <f ca="1">getStockPrice("sz399001")</f>
        <v>#NAME?</v>
      </c>
      <c r="C3" s="11" t="e">
        <f ca="1">getLastDayStockPrice("sz399001")</f>
        <v>#NAME?</v>
      </c>
      <c r="D3" s="12" t="e">
        <f ca="1">B3-C3</f>
        <v>#NAME?</v>
      </c>
      <c r="E3" s="13" t="e">
        <f ca="1">D3/B3</f>
        <v>#NAME?</v>
      </c>
      <c r="F3" s="9" t="e">
        <f ca="1">getOpenStockPrice("sz399001")</f>
        <v>#NAME?</v>
      </c>
      <c r="G3" s="9" t="e">
        <f ca="1">getMaxStockPrice("sz399001")</f>
        <v>#NAME?</v>
      </c>
      <c r="H3" s="9" t="e">
        <f ca="1">getMinStockPrice("sz399001")</f>
        <v>#NAME?</v>
      </c>
      <c r="I3" s="9" t="e">
        <f ca="1">getTradeVolume("sz399001")</f>
        <v>#NAME?</v>
      </c>
    </row>
    <row r="4" spans="1:9" x14ac:dyDescent="0.15">
      <c r="A4" s="14"/>
      <c r="B4" s="15"/>
      <c r="C4" s="9"/>
      <c r="D4" s="16"/>
      <c r="E4" s="13"/>
      <c r="F4" s="9"/>
      <c r="G4" s="9"/>
      <c r="H4" s="9"/>
      <c r="I4" s="9"/>
    </row>
    <row r="5" spans="1:9" x14ac:dyDescent="0.15">
      <c r="A5" s="10" t="s">
        <v>10</v>
      </c>
      <c r="B5" s="9" t="e">
        <f ca="1">getStockPrice("sh601988")</f>
        <v>#NAME?</v>
      </c>
      <c r="C5" s="9" t="e">
        <f ca="1">getLastDayStockPrice("sh601988")</f>
        <v>#NAME?</v>
      </c>
      <c r="D5" s="16" t="e">
        <f ca="1">B5-C5</f>
        <v>#NAME?</v>
      </c>
      <c r="E5" s="13" t="e">
        <f ca="1">D5/B5</f>
        <v>#NAME?</v>
      </c>
      <c r="F5" s="9" t="e">
        <f ca="1">getOpenStockPrice("sh601988")</f>
        <v>#NAME?</v>
      </c>
      <c r="G5" s="9" t="e">
        <f ca="1">getMaxStockPrice("sh601988")</f>
        <v>#NAME?</v>
      </c>
      <c r="H5" s="9" t="e">
        <f ca="1">getMinStockPrice("sh601988")</f>
        <v>#NAME?</v>
      </c>
      <c r="I5" s="9" t="e">
        <f ca="1">getTradeVolume("sh601988")</f>
        <v>#NAME?</v>
      </c>
    </row>
    <row r="6" spans="1:9" x14ac:dyDescent="0.15">
      <c r="A6" s="10" t="s">
        <v>11</v>
      </c>
      <c r="B6" s="9" t="e">
        <f ca="1">getStockPrice("sh601818")</f>
        <v>#NAME?</v>
      </c>
      <c r="C6" s="9" t="e">
        <f ca="1">getLastDayStockPrice("sh601818")</f>
        <v>#NAME?</v>
      </c>
      <c r="D6" s="16" t="e">
        <f ca="1">B6-C6</f>
        <v>#NAME?</v>
      </c>
      <c r="E6" s="13" t="e">
        <f ca="1">D6/B6</f>
        <v>#NAME?</v>
      </c>
      <c r="F6" s="9"/>
      <c r="G6" s="9"/>
      <c r="H6" s="9"/>
      <c r="I6" s="9"/>
    </row>
    <row r="7" spans="1:9" x14ac:dyDescent="0.15">
      <c r="A7" s="14"/>
      <c r="B7" s="9"/>
      <c r="C7" s="9"/>
      <c r="D7" s="16"/>
      <c r="E7" s="13"/>
      <c r="F7" s="9"/>
      <c r="G7" s="9"/>
      <c r="H7" s="9"/>
      <c r="I7" s="9"/>
    </row>
    <row r="8" spans="1:9" x14ac:dyDescent="0.15">
      <c r="A8" s="10" t="s">
        <v>12</v>
      </c>
      <c r="B8" s="9" t="e">
        <f ca="1">getStockPrice("sh601166")</f>
        <v>#NAME?</v>
      </c>
      <c r="C8" s="9" t="e">
        <f ca="1">getLastDayStockPrice("sh601166")</f>
        <v>#NAME?</v>
      </c>
      <c r="D8" s="16" t="e">
        <f ca="1">B8-C8</f>
        <v>#NAME?</v>
      </c>
      <c r="E8" s="13" t="e">
        <f ca="1">D8/B8</f>
        <v>#NAME?</v>
      </c>
      <c r="F8" s="9"/>
      <c r="G8" s="9"/>
      <c r="H8" s="9"/>
      <c r="I8" s="9"/>
    </row>
    <row r="9" spans="1:9" x14ac:dyDescent="0.15">
      <c r="A9" s="10" t="s">
        <v>13</v>
      </c>
      <c r="B9" s="9" t="e">
        <f ca="1">getStockPrice("sz000001")</f>
        <v>#NAME?</v>
      </c>
      <c r="C9" s="9" t="e">
        <f ca="1">getLastDayStockPrice("sz000001")</f>
        <v>#NAME?</v>
      </c>
      <c r="D9" s="16" t="e">
        <f ca="1">B9-C9</f>
        <v>#NAME?</v>
      </c>
      <c r="E9" s="13" t="e">
        <f ca="1">D9/B9</f>
        <v>#NAME?</v>
      </c>
      <c r="F9" s="9"/>
      <c r="G9" s="9"/>
      <c r="H9" s="9"/>
      <c r="I9" s="9"/>
    </row>
    <row r="10" spans="1:9" x14ac:dyDescent="0.15">
      <c r="A10" s="14"/>
      <c r="B10" s="9"/>
      <c r="C10" s="9"/>
      <c r="D10" s="16"/>
      <c r="E10" s="17"/>
      <c r="F10" s="9"/>
      <c r="G10" s="9"/>
      <c r="H10" s="9"/>
      <c r="I10" s="9"/>
    </row>
    <row r="11" spans="1:9" x14ac:dyDescent="0.15">
      <c r="A11" s="10" t="s">
        <v>14</v>
      </c>
      <c r="B11" s="9" t="e">
        <f ca="1">getHKStockPrice("hk00998")</f>
        <v>#NAME?</v>
      </c>
      <c r="C11" s="9" t="e">
        <f ca="1">getLastDayHKStockPrice("hk00998")</f>
        <v>#NAME?</v>
      </c>
      <c r="D11" s="16" t="e">
        <f ca="1">B11-C11</f>
        <v>#NAME?</v>
      </c>
      <c r="E11" s="13" t="e">
        <f ca="1">D11/B11</f>
        <v>#NAME?</v>
      </c>
      <c r="F11" s="9"/>
      <c r="G11" s="9"/>
      <c r="H11" s="9"/>
      <c r="I11" s="9"/>
    </row>
    <row r="12" spans="1:9" x14ac:dyDescent="0.15">
      <c r="A12" s="20" t="s">
        <v>24</v>
      </c>
      <c r="B12" s="9" t="e">
        <f ca="1">getStockPrice("sz163417")</f>
        <v>#NAME?</v>
      </c>
      <c r="C12" s="9" t="e">
        <f ca="1">getLastDayStockPrice("sz163417")</f>
        <v>#NAME?</v>
      </c>
      <c r="D12" s="16" t="e">
        <f ca="1">B12-C12</f>
        <v>#NAME?</v>
      </c>
      <c r="E12" s="13" t="e">
        <f ca="1">D12/B12</f>
        <v>#NAME?</v>
      </c>
      <c r="F12" s="9"/>
      <c r="G12" s="9"/>
      <c r="H12" s="9"/>
      <c r="I12" s="9"/>
    </row>
    <row r="14" spans="1:9" x14ac:dyDescent="0.15">
      <c r="B14" s="19" t="s">
        <v>26</v>
      </c>
      <c r="C14" s="19" t="s">
        <v>25</v>
      </c>
      <c r="D14" s="19" t="s">
        <v>27</v>
      </c>
    </row>
    <row r="15" spans="1:9" x14ac:dyDescent="0.15">
      <c r="A15" s="21" t="s">
        <v>23</v>
      </c>
      <c r="B15" s="9" t="e">
        <f ca="1">getOpenFundNAV("f_340001")</f>
        <v>#NAME?</v>
      </c>
      <c r="C15" s="9" t="e">
        <f ca="1">getOpenFundAccNAV("f_340001")</f>
        <v>#NAME?</v>
      </c>
      <c r="D15" s="9" t="e">
        <f ca="1">getOpenFundT_2NAV("f_340001")</f>
        <v>#NAME?</v>
      </c>
      <c r="E15" s="22"/>
      <c r="F15" s="22"/>
      <c r="G15" s="22"/>
      <c r="H15" s="22"/>
      <c r="I15" s="22"/>
    </row>
    <row r="17" spans="1:1" x14ac:dyDescent="0.15">
      <c r="A17" s="18" t="s">
        <v>15</v>
      </c>
    </row>
    <row r="18" spans="1:1" x14ac:dyDescent="0.15">
      <c r="A18" s="18" t="s">
        <v>16</v>
      </c>
    </row>
    <row r="19" spans="1:1" x14ac:dyDescent="0.15">
      <c r="A19" s="18" t="s">
        <v>17</v>
      </c>
    </row>
    <row r="20" spans="1:1" x14ac:dyDescent="0.15">
      <c r="A20" t="s">
        <v>18</v>
      </c>
    </row>
    <row r="21" spans="1:1" x14ac:dyDescent="0.15">
      <c r="A21" s="18" t="s">
        <v>19</v>
      </c>
    </row>
    <row r="22" spans="1:1" x14ac:dyDescent="0.15">
      <c r="A22" t="s">
        <v>20</v>
      </c>
    </row>
    <row r="23" spans="1:1" x14ac:dyDescent="0.15">
      <c r="A23" s="18" t="s">
        <v>21</v>
      </c>
    </row>
    <row r="24" spans="1:1" x14ac:dyDescent="0.15">
      <c r="A24" s="19" t="s">
        <v>30</v>
      </c>
    </row>
    <row r="26" spans="1:1" x14ac:dyDescent="0.15">
      <c r="A26" s="19" t="s">
        <v>22</v>
      </c>
    </row>
    <row r="27" spans="1:1" x14ac:dyDescent="0.15">
      <c r="A27" s="19" t="s">
        <v>28</v>
      </c>
    </row>
    <row r="28" spans="1:1" x14ac:dyDescent="0.15">
      <c r="A28" s="19" t="s">
        <v>29</v>
      </c>
    </row>
  </sheetData>
  <phoneticPr fontId="1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VBA</vt:lpstr>
    </vt:vector>
  </TitlesOfParts>
  <Manager/>
  <Company>MC SYSTEM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FroJSL</dc:creator>
  <cp:keywords>ForJSL</cp:keywords>
  <dc:description/>
  <cp:lastModifiedBy>隋家敏</cp:lastModifiedBy>
  <cp:revision>1</cp:revision>
  <cp:lastPrinted>2017-07-14T08:04:40Z</cp:lastPrinted>
  <dcterms:created xsi:type="dcterms:W3CDTF">2014-01-08T04:11:53Z</dcterms:created>
  <dcterms:modified xsi:type="dcterms:W3CDTF">2021-03-14T08:35:13Z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2052-10.8.2.6613</vt:lpwstr>
  </property>
</Properties>
</file>